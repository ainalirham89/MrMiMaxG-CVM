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Tesis 15 Feb 2026/Submit/proposal tesis/Repository github MrMiMaxG-CVM/MrMiMaxG-CVM/Source Code/b.10 Dataset C&amp;C UCI ML (Selected) MrMiMaxG-CVM/single method/"/>
    </mc:Choice>
  </mc:AlternateContent>
  <xr:revisionPtr revIDLastSave="0" documentId="13_ncr:1_{583725A7-2F22-0546-94A6-308C205D3378}" xr6:coauthVersionLast="47" xr6:coauthVersionMax="47" xr10:uidLastSave="{00000000-0000-0000-0000-000000000000}"/>
  <bookViews>
    <workbookView xWindow="0" yWindow="0" windowWidth="33600" windowHeight="21000" xr2:uid="{27380A83-89CD-134B-BC86-85F437D005AD}"/>
  </bookViews>
  <sheets>
    <sheet name="Sheet1" sheetId="1" r:id="rId1"/>
  </sheets>
  <definedNames>
    <definedName name="_xlchart.v1.0" hidden="1">Sheet1!$B$3:$G$3</definedName>
    <definedName name="_xlchart.v1.1" hidden="1">Sheet1!$B$4:$G$4</definedName>
    <definedName name="_xlchart.v1.10" hidden="1">Sheet1!$B$7:$G$7</definedName>
    <definedName name="_xlchart.v1.11" hidden="1">Sheet1!$B$8:$G$8</definedName>
    <definedName name="_xlchart.v1.12" hidden="1">Sheet1!$B$3:$G$3</definedName>
    <definedName name="_xlchart.v1.13" hidden="1">Sheet1!$B$4:$G$4</definedName>
    <definedName name="_xlchart.v1.14" hidden="1">Sheet1!$B$5:$G$5</definedName>
    <definedName name="_xlchart.v1.15" hidden="1">Sheet1!$B$6:$G$6</definedName>
    <definedName name="_xlchart.v1.16" hidden="1">Sheet1!$B$7:$G$7</definedName>
    <definedName name="_xlchart.v1.17" hidden="1">Sheet1!$B$8:$G$8</definedName>
    <definedName name="_xlchart.v1.18" hidden="1">Sheet1!$B$3:$G$3</definedName>
    <definedName name="_xlchart.v1.19" hidden="1">Sheet1!$B$4:$G$4</definedName>
    <definedName name="_xlchart.v1.2" hidden="1">Sheet1!$B$5:$G$5</definedName>
    <definedName name="_xlchart.v1.20" hidden="1">Sheet1!$B$5:$G$5</definedName>
    <definedName name="_xlchart.v1.21" hidden="1">Sheet1!$B$6:$G$6</definedName>
    <definedName name="_xlchart.v1.22" hidden="1">Sheet1!$B$7:$G$7</definedName>
    <definedName name="_xlchart.v1.23" hidden="1">Sheet1!$B$8:$G$8</definedName>
    <definedName name="_xlchart.v1.24" hidden="1">Sheet1!$B$3:$G$3</definedName>
    <definedName name="_xlchart.v1.25" hidden="1">Sheet1!$B$4:$G$4</definedName>
    <definedName name="_xlchart.v1.26" hidden="1">Sheet1!$B$5:$G$5</definedName>
    <definedName name="_xlchart.v1.27" hidden="1">Sheet1!$B$6:$G$6</definedName>
    <definedName name="_xlchart.v1.28" hidden="1">Sheet1!$B$7:$G$7</definedName>
    <definedName name="_xlchart.v1.29" hidden="1">Sheet1!$B$8:$G$8</definedName>
    <definedName name="_xlchart.v1.3" hidden="1">Sheet1!$B$6:$G$6</definedName>
    <definedName name="_xlchart.v1.30" hidden="1">Sheet1!$B$3:$H$3</definedName>
    <definedName name="_xlchart.v1.31" hidden="1">Sheet1!$B$4:$H$4</definedName>
    <definedName name="_xlchart.v1.32" hidden="1">Sheet1!$B$5:$H$5</definedName>
    <definedName name="_xlchart.v1.33" hidden="1">Sheet1!$B$6:$H$6</definedName>
    <definedName name="_xlchart.v1.34" hidden="1">Sheet1!$B$7:$H$7</definedName>
    <definedName name="_xlchart.v1.35" hidden="1">Sheet1!$B$8:$H$8</definedName>
    <definedName name="_xlchart.v1.36" hidden="1">Sheet1!$B$3:$G$3</definedName>
    <definedName name="_xlchart.v1.37" hidden="1">Sheet1!$B$4:$G$4</definedName>
    <definedName name="_xlchart.v1.38" hidden="1">Sheet1!$B$5:$G$5</definedName>
    <definedName name="_xlchart.v1.39" hidden="1">Sheet1!$B$6:$G$6</definedName>
    <definedName name="_xlchart.v1.4" hidden="1">Sheet1!$B$7:$G$7</definedName>
    <definedName name="_xlchart.v1.40" hidden="1">Sheet1!$B$7:$G$7</definedName>
    <definedName name="_xlchart.v1.41" hidden="1">Sheet1!$B$8:$G$8</definedName>
    <definedName name="_xlchart.v1.42" hidden="1">Sheet1!$B$3:$G$3</definedName>
    <definedName name="_xlchart.v1.43" hidden="1">Sheet1!$B$4:$G$4</definedName>
    <definedName name="_xlchart.v1.44" hidden="1">Sheet1!$B$5:$G$5</definedName>
    <definedName name="_xlchart.v1.45" hidden="1">Sheet1!$B$6:$G$6</definedName>
    <definedName name="_xlchart.v1.46" hidden="1">Sheet1!$B$7:$G$7</definedName>
    <definedName name="_xlchart.v1.47" hidden="1">Sheet1!$B$8:$G$8</definedName>
    <definedName name="_xlchart.v1.48" hidden="1">Sheet1!$B$3:$G$3</definedName>
    <definedName name="_xlchart.v1.49" hidden="1">Sheet1!$B$4:$G$4</definedName>
    <definedName name="_xlchart.v1.5" hidden="1">Sheet1!$B$8:$G$8</definedName>
    <definedName name="_xlchart.v1.50" hidden="1">Sheet1!$B$5:$G$5</definedName>
    <definedName name="_xlchart.v1.51" hidden="1">Sheet1!$B$6:$G$6</definedName>
    <definedName name="_xlchart.v1.52" hidden="1">Sheet1!$B$7:$G$7</definedName>
    <definedName name="_xlchart.v1.53" hidden="1">Sheet1!$B$8:$G$8</definedName>
    <definedName name="_xlchart.v1.6" hidden="1">Sheet1!$B$3:$G$3</definedName>
    <definedName name="_xlchart.v1.7" hidden="1">Sheet1!$B$4:$G$4</definedName>
    <definedName name="_xlchart.v1.8" hidden="1">Sheet1!$B$5:$G$5</definedName>
    <definedName name="_xlchart.v1.9" hidden="1">Sheet1!$B$6:$G$6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4" i="1"/>
  <c r="H5" i="1" l="1"/>
  <c r="H6" i="1"/>
  <c r="H7" i="1"/>
  <c r="D2" i="1"/>
  <c r="F2" i="1"/>
  <c r="G2" i="1"/>
  <c r="C2" i="1"/>
  <c r="D1" i="1"/>
  <c r="F1" i="1"/>
  <c r="G1" i="1"/>
  <c r="C1" i="1"/>
</calcChain>
</file>

<file path=xl/sharedStrings.xml><?xml version="1.0" encoding="utf-8"?>
<sst xmlns="http://schemas.openxmlformats.org/spreadsheetml/2006/main" count="15" uniqueCount="15">
  <si>
    <t>MI</t>
  </si>
  <si>
    <t>mRMR</t>
  </si>
  <si>
    <t>RFE</t>
  </si>
  <si>
    <t>GA</t>
  </si>
  <si>
    <t>R2</t>
  </si>
  <si>
    <t>MAE</t>
  </si>
  <si>
    <t>RMSE</t>
  </si>
  <si>
    <t>MAPE</t>
  </si>
  <si>
    <t>Max E</t>
  </si>
  <si>
    <t>Min E</t>
  </si>
  <si>
    <t>MrMiMaxG</t>
  </si>
  <si>
    <t>WPPS (%)</t>
  </si>
  <si>
    <t>max</t>
  </si>
  <si>
    <t>min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</si>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</sst>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164" fontId="0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/>
              <a:t>Ablation Study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Sheet1!$B$3:$H$3</c:f>
              <c:strCache>
                <c:ptCount val="6"/>
                <c:pt idx="0">
                  <c:v>R2</c:v>
                </c:pt>
                <c:pt idx="1">
                  <c:v>MAE</c:v>
                </c:pt>
                <c:pt idx="2">
                  <c:v>RMSE</c:v>
                </c:pt>
                <c:pt idx="3">
                  <c:v>Max E</c:v>
                </c:pt>
                <c:pt idx="4">
                  <c:v>Min E</c:v>
                </c:pt>
                <c:pt idx="5">
                  <c:v>WPPS (%)</c:v>
                </c:pt>
              </c:strCache>
            </c:strRef>
          </c:cat>
          <c:val>
            <c:numRef>
              <c:f>Sheet1!$B$4:$H$4</c:f>
              <c:numCache>
                <c:formatCode>General</c:formatCode>
                <c:ptCount val="6"/>
                <c:pt idx="0">
                  <c:v>0.6169</c:v>
                </c:pt>
                <c:pt idx="1">
                  <c:v>8.6800000000000002E-2</c:v>
                </c:pt>
                <c:pt idx="2">
                  <c:v>0.1323</c:v>
                </c:pt>
                <c:pt idx="3">
                  <c:v>0.5887</c:v>
                </c:pt>
                <c:pt idx="4">
                  <c:v>4.0000000000000002E-4</c:v>
                </c:pt>
                <c:pt idx="5" formatCode="_(* #,##0.00_);_(* \(#,##0.00\);_(* &quot;-&quot;_);_(@_)">
                  <c:v>33.092673596027126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4-6E49-8031-8DE5ECB22FD0}"/>
            </c:ext>
          </c:extLst>
        </c:ser>
        <c:ser>
          <c:idx val="1"/>
          <c:order val="1"/>
          <c:tx>
            <c:v>mRMR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Sheet1!$B$3:$H$3</c:f>
              <c:strCache>
                <c:ptCount val="6"/>
                <c:pt idx="0">
                  <c:v>R2</c:v>
                </c:pt>
                <c:pt idx="1">
                  <c:v>MAE</c:v>
                </c:pt>
                <c:pt idx="2">
                  <c:v>RMSE</c:v>
                </c:pt>
                <c:pt idx="3">
                  <c:v>Max E</c:v>
                </c:pt>
                <c:pt idx="4">
                  <c:v>Min E</c:v>
                </c:pt>
                <c:pt idx="5">
                  <c:v>WPPS (%)</c:v>
                </c:pt>
              </c:strCache>
            </c:strRef>
          </c:cat>
          <c:val>
            <c:numRef>
              <c:f>Sheet1!$B$5:$H$5</c:f>
              <c:numCache>
                <c:formatCode>General</c:formatCode>
                <c:ptCount val="6"/>
                <c:pt idx="0">
                  <c:v>0.59860000000000002</c:v>
                </c:pt>
                <c:pt idx="1">
                  <c:v>9.0300000000000005E-2</c:v>
                </c:pt>
                <c:pt idx="2">
                  <c:v>0.13539999999999999</c:v>
                </c:pt>
                <c:pt idx="3">
                  <c:v>0.60060000000000002</c:v>
                </c:pt>
                <c:pt idx="4">
                  <c:v>0</c:v>
                </c:pt>
                <c:pt idx="5" formatCode="_(* #,##0.00_);_(* \(#,##0.00\);_(* &quot;-&quot;_);_(@_)">
                  <c:v>35.390419822192953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4-6E49-8031-8DE5ECB22FD0}"/>
            </c:ext>
          </c:extLst>
        </c:ser>
        <c:ser>
          <c:idx val="2"/>
          <c:order val="2"/>
          <c:tx>
            <c:v>RFE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Sheet1!$B$3:$H$3</c:f>
              <c:strCache>
                <c:ptCount val="6"/>
                <c:pt idx="0">
                  <c:v>R2</c:v>
                </c:pt>
                <c:pt idx="1">
                  <c:v>MAE</c:v>
                </c:pt>
                <c:pt idx="2">
                  <c:v>RMSE</c:v>
                </c:pt>
                <c:pt idx="3">
                  <c:v>Max E</c:v>
                </c:pt>
                <c:pt idx="4">
                  <c:v>Min E</c:v>
                </c:pt>
                <c:pt idx="5">
                  <c:v>WPPS (%)</c:v>
                </c:pt>
              </c:strCache>
            </c:strRef>
          </c:cat>
          <c:val>
            <c:numRef>
              <c:f>Sheet1!$B$6:$H$6</c:f>
              <c:numCache>
                <c:formatCode>General</c:formatCode>
                <c:ptCount val="6"/>
                <c:pt idx="0">
                  <c:v>0.62490000000000001</c:v>
                </c:pt>
                <c:pt idx="1">
                  <c:v>8.6300000000000002E-2</c:v>
                </c:pt>
                <c:pt idx="2">
                  <c:v>0.13089999999999999</c:v>
                </c:pt>
                <c:pt idx="3">
                  <c:v>0.60740000000000005</c:v>
                </c:pt>
                <c:pt idx="4">
                  <c:v>1E-4</c:v>
                </c:pt>
                <c:pt idx="5" formatCode="_(* #,##0.00_);_(* \(#,##0.00\);_(* &quot;-&quot;_);_(@_)">
                  <c:v>35.264926116130212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04-6E49-8031-8DE5ECB22FD0}"/>
            </c:ext>
          </c:extLst>
        </c:ser>
        <c:ser>
          <c:idx val="3"/>
          <c:order val="3"/>
          <c:tx>
            <c:v>GA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Sheet1!$B$3:$H$3</c:f>
              <c:strCache>
                <c:ptCount val="6"/>
                <c:pt idx="0">
                  <c:v>R2</c:v>
                </c:pt>
                <c:pt idx="1">
                  <c:v>MAE</c:v>
                </c:pt>
                <c:pt idx="2">
                  <c:v>RMSE</c:v>
                </c:pt>
                <c:pt idx="3">
                  <c:v>Max E</c:v>
                </c:pt>
                <c:pt idx="4">
                  <c:v>Min E</c:v>
                </c:pt>
                <c:pt idx="5">
                  <c:v>WPPS (%)</c:v>
                </c:pt>
              </c:strCache>
            </c:strRef>
          </c:cat>
          <c:val>
            <c:numRef>
              <c:f>Sheet1!$B$7:$H$7</c:f>
              <c:numCache>
                <c:formatCode>General</c:formatCode>
                <c:ptCount val="6"/>
                <c:pt idx="0">
                  <c:v>0.62939999999999996</c:v>
                </c:pt>
                <c:pt idx="1">
                  <c:v>8.6400000000000005E-2</c:v>
                </c:pt>
                <c:pt idx="2">
                  <c:v>0.13009999999999999</c:v>
                </c:pt>
                <c:pt idx="3">
                  <c:v>0.58250000000000002</c:v>
                </c:pt>
                <c:pt idx="4">
                  <c:v>4.0000000000000002E-4</c:v>
                </c:pt>
                <c:pt idx="5" formatCode="_(* #,##0.00_);_(* \(#,##0.00\);_(* &quot;-&quot;_);_(@_)">
                  <c:v>33.986545663212468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04-6E49-8031-8DE5ECB22FD0}"/>
            </c:ext>
          </c:extLst>
        </c:ser>
        <c:ser>
          <c:idx val="4"/>
          <c:order val="4"/>
          <c:tx>
            <c:v>MrMiMaxG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Sheet1!$B$3:$H$3</c:f>
              <c:strCache>
                <c:ptCount val="6"/>
                <c:pt idx="0">
                  <c:v>R2</c:v>
                </c:pt>
                <c:pt idx="1">
                  <c:v>MAE</c:v>
                </c:pt>
                <c:pt idx="2">
                  <c:v>RMSE</c:v>
                </c:pt>
                <c:pt idx="3">
                  <c:v>Max E</c:v>
                </c:pt>
                <c:pt idx="4">
                  <c:v>Min E</c:v>
                </c:pt>
                <c:pt idx="5">
                  <c:v>WPPS (%)</c:v>
                </c:pt>
              </c:strCache>
            </c:strRef>
          </c:cat>
          <c:val>
            <c:numRef>
              <c:f>Sheet1!$B$8:$H$8</c:f>
              <c:numCache>
                <c:formatCode>General</c:formatCode>
                <c:ptCount val="6"/>
                <c:pt idx="0">
                  <c:v>0.64200000000000002</c:v>
                </c:pt>
                <c:pt idx="1">
                  <c:v>8.4099999999999994E-2</c:v>
                </c:pt>
                <c:pt idx="2">
                  <c:v>0.12790000000000001</c:v>
                </c:pt>
                <c:pt idx="3">
                  <c:v>0.57899999999999996</c:v>
                </c:pt>
                <c:pt idx="4">
                  <c:v>2.0000000000000001E-4</c:v>
                </c:pt>
                <c:pt idx="5" formatCode="_(* #,##0.00_);_(* \(#,##0.00\);_(* &quot;-&quot;_);_(@_)">
                  <c:v>36.861287857997205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04-6E49-8031-8DE5ECB22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6155776"/>
        <c:axId val="1565881472"/>
      </c:barChart>
      <c:catAx>
        <c:axId val="168615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881472"/>
        <c:auto val="1"/>
        <c:lblAlgn val="ctr"/>
        <c:lblOffset val="100"/>
        <c:noMultiLvlLbl val="0"/>
      </c:catAx>
      <c:valAx>
        <c:axId val="156588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15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201327</xdr:colOff>
      <xdr:row>8</xdr:row>
      <xdr:rowOff>88608</xdr:rowOff>
    </xdr:from>
    <xdr:to>
      <xdr:col>9</xdr:col>
      <xdr:colOff>647290</xdr:colOff>
      <xdr:row>21</xdr:row>
      <xdr:rowOff>168905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48377-2C30-4258-77A6-03C6C1102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E2E7-E583-A74E-8016-80C626949C89}">
  <dimension ref="A1:H8"/>
  <sheetViews>
    <sheetView tabSelected="1" topLeftCell="A2" zoomScale="217" workbookViewId="0">
      <selection activeCell="I6" sqref="I6"/>
    </sheetView>
  </sheetViews>
  <sheetFormatPr baseColWidth="10" defaultRowHeight="16" x14ac:dyDescent="0.2"/>
  <cols>
    <col min="1" max="1" width="10" style="2" bestFit="1" customWidth="1"/>
    <col min="2" max="4" width="7.1640625" style="3" bestFit="1" customWidth="1"/>
    <col min="5" max="5" width="0" style="3" hidden="1" customWidth="1"/>
    <col min="6" max="7" width="7.1640625" style="3" bestFit="1" customWidth="1"/>
    <col min="8" max="8" width="9" style="1" bestFit="1" customWidth="1"/>
    <col min="9" max="16384" width="10.83203125" style="1"/>
  </cols>
  <sheetData>
    <row r="1" spans="1:8" x14ac:dyDescent="0.2">
      <c r="B1" s="3" t="s">
        <v>12</v>
      </c>
      <c r="C1" s="3">
        <f>MAX(C4:C8)</f>
        <v>9.0300000000000005E-2</v>
      </c>
      <c r="D1" s="3">
        <f t="shared" ref="D1:G1" si="0">MAX(D4:D8)</f>
        <v>0.13539999999999999</v>
      </c>
      <c r="E1" s="3">
        <v>1</v>
      </c>
      <c r="F1" s="3">
        <f t="shared" si="0"/>
        <v>0.60740000000000005</v>
      </c>
      <c r="G1" s="3">
        <f t="shared" si="0"/>
        <v>4.0000000000000002E-4</v>
      </c>
    </row>
    <row r="2" spans="1:8" x14ac:dyDescent="0.2">
      <c r="B2" s="3" t="s">
        <v>13</v>
      </c>
      <c r="C2" s="3">
        <f>MIN(C4:C8)</f>
        <v>8.4099999999999994E-2</v>
      </c>
      <c r="D2" s="3">
        <f t="shared" ref="D2:G2" si="1">MIN(D4:D8)</f>
        <v>0.12790000000000001</v>
      </c>
      <c r="E2" s="3">
        <v>0</v>
      </c>
      <c r="F2" s="3">
        <f t="shared" si="1"/>
        <v>0.57899999999999996</v>
      </c>
      <c r="G2" s="3">
        <f t="shared" si="1"/>
        <v>0</v>
      </c>
    </row>
    <row r="3" spans="1:8" x14ac:dyDescent="0.2">
      <c r="A3" s="7" t="s">
        <v>14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11</v>
      </c>
    </row>
    <row r="4" spans="1:8" x14ac:dyDescent="0.2">
      <c r="A4" s="4" t="s">
        <v>0</v>
      </c>
      <c r="B4" s="5">
        <v>0.6169</v>
      </c>
      <c r="C4" s="5">
        <v>8.6800000000000002E-2</v>
      </c>
      <c r="D4" s="5">
        <v>0.1323</v>
      </c>
      <c r="E4" s="5"/>
      <c r="F4" s="5">
        <v>0.5887</v>
      </c>
      <c r="G4" s="5">
        <v>4.0000000000000002E-4</v>
      </c>
      <c r="H4" s="6">
        <f>((0.25*B4) + (0.07*(1-(C4/C$1))) + (0.1*(1-(D4/D$1))) + (0.16*(1-(E4/E$1))) + (0.38*(1-(F4/F$1))) + (0.04*(1-(G4/G$1))))*100</f>
        <v>33.092673596027126</v>
      </c>
    </row>
    <row r="5" spans="1:8" x14ac:dyDescent="0.2">
      <c r="A5" s="4" t="s">
        <v>1</v>
      </c>
      <c r="B5" s="5">
        <v>0.59860000000000002</v>
      </c>
      <c r="C5" s="5">
        <v>9.0300000000000005E-2</v>
      </c>
      <c r="D5" s="5">
        <v>0.13539999999999999</v>
      </c>
      <c r="E5" s="5"/>
      <c r="F5" s="5">
        <v>0.60060000000000002</v>
      </c>
      <c r="G5" s="5">
        <v>0</v>
      </c>
      <c r="H5" s="6">
        <f t="shared" ref="H5:H8" si="2">((0.25*B5) + (0.07*(1-(C5/C$1))) + (0.1*(1-(D5/D$1))) + (0.16*(1-(E5/E$1))) + (0.38*(1-(F5/F$1))) + (0.04*(1-(G5/G$1))))*100</f>
        <v>35.390419822192953</v>
      </c>
    </row>
    <row r="6" spans="1:8" x14ac:dyDescent="0.2">
      <c r="A6" s="4" t="s">
        <v>2</v>
      </c>
      <c r="B6" s="5">
        <v>0.62490000000000001</v>
      </c>
      <c r="C6" s="5">
        <v>8.6300000000000002E-2</v>
      </c>
      <c r="D6" s="5">
        <v>0.13089999999999999</v>
      </c>
      <c r="E6" s="5"/>
      <c r="F6" s="5">
        <v>0.60740000000000005</v>
      </c>
      <c r="G6" s="5">
        <v>1E-4</v>
      </c>
      <c r="H6" s="6">
        <f t="shared" si="2"/>
        <v>35.264926116130212</v>
      </c>
    </row>
    <row r="7" spans="1:8" x14ac:dyDescent="0.2">
      <c r="A7" s="4" t="s">
        <v>3</v>
      </c>
      <c r="B7" s="5">
        <v>0.62939999999999996</v>
      </c>
      <c r="C7" s="5">
        <v>8.6400000000000005E-2</v>
      </c>
      <c r="D7" s="5">
        <v>0.13009999999999999</v>
      </c>
      <c r="E7" s="5"/>
      <c r="F7" s="5">
        <v>0.58250000000000002</v>
      </c>
      <c r="G7" s="5">
        <v>4.0000000000000002E-4</v>
      </c>
      <c r="H7" s="6">
        <f t="shared" si="2"/>
        <v>33.986545663212468</v>
      </c>
    </row>
    <row r="8" spans="1:8" x14ac:dyDescent="0.2">
      <c r="A8" s="4" t="s">
        <v>10</v>
      </c>
      <c r="B8" s="5">
        <v>0.64200000000000002</v>
      </c>
      <c r="C8" s="5">
        <v>8.4099999999999994E-2</v>
      </c>
      <c r="D8" s="5">
        <v>0.12790000000000001</v>
      </c>
      <c r="E8" s="5"/>
      <c r="F8" s="5">
        <v>0.57899999999999996</v>
      </c>
      <c r="G8" s="5">
        <v>2.0000000000000001E-4</v>
      </c>
      <c r="H8" s="6">
        <f>((0.25*B8) + (0.07*(1-(C8/C$1))) + (0.1*(1-(D8/D$1))) + (0.16*(1-(E8/E$1))) + (0.38*(1-(F8/F$1))) + (0.04*(1-(G8/G$1))))*100</f>
        <v>36.861287857997205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dcterms:created xsi:type="dcterms:W3CDTF">2026-05-27T12:26:25Z</dcterms:created>
  <dcterms:modified xsi:type="dcterms:W3CDTF">2026-05-30T00:59:32Z</dcterms:modified>
</cp:coreProperties>
</file>