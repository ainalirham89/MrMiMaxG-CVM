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Tesis 15 Feb 2026/Submit/proposal tesis/"/>
    </mc:Choice>
  </mc:AlternateContent>
  <xr:revisionPtr revIDLastSave="0" documentId="13_ncr:1_{7CE63EF4-22A2-C443-9D18-CB198AFB21D7}" xr6:coauthVersionLast="47" xr6:coauthVersionMax="47" xr10:uidLastSave="{00000000-0000-0000-0000-000000000000}"/>
  <bookViews>
    <workbookView xWindow="0" yWindow="0" windowWidth="33600" windowHeight="21000" activeTab="2" xr2:uid="{71663C20-C7D4-EC4C-9157-FDDA7330A230}"/>
  </bookViews>
  <sheets>
    <sheet name="Sheet1" sheetId="3" r:id="rId1"/>
    <sheet name="NPHR" sheetId="2" r:id="rId2"/>
    <sheet name="Boiler Eff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K3" i="1"/>
  <c r="P6" i="1" s="1"/>
  <c r="L3" i="1"/>
  <c r="M3" i="1"/>
  <c r="N3" i="1"/>
  <c r="O3" i="1"/>
  <c r="L4" i="1"/>
  <c r="M4" i="1"/>
  <c r="N4" i="1"/>
  <c r="K4" i="1"/>
  <c r="K3" i="2"/>
  <c r="L3" i="2"/>
  <c r="P10" i="2" s="1"/>
  <c r="M3" i="2"/>
  <c r="N3" i="2"/>
  <c r="O3" i="2"/>
  <c r="O4" i="2"/>
  <c r="N4" i="2"/>
  <c r="M4" i="2"/>
  <c r="L4" i="2"/>
  <c r="K4" i="2"/>
  <c r="P36" i="1" l="1"/>
  <c r="P44" i="1"/>
  <c r="P8" i="1"/>
  <c r="P16" i="1"/>
  <c r="P24" i="1"/>
  <c r="P51" i="1"/>
  <c r="P59" i="1"/>
  <c r="P68" i="1"/>
  <c r="P76" i="1"/>
  <c r="P84" i="1"/>
  <c r="P37" i="1"/>
  <c r="P45" i="1"/>
  <c r="P9" i="1"/>
  <c r="P17" i="1"/>
  <c r="P25" i="1"/>
  <c r="P52" i="1"/>
  <c r="P61" i="1"/>
  <c r="P69" i="1"/>
  <c r="P77" i="1"/>
  <c r="P85" i="1"/>
  <c r="P38" i="1"/>
  <c r="P46" i="1"/>
  <c r="P10" i="1"/>
  <c r="P18" i="1"/>
  <c r="P26" i="1"/>
  <c r="P53" i="1"/>
  <c r="P62" i="1"/>
  <c r="P70" i="1"/>
  <c r="P78" i="1"/>
  <c r="P86" i="1"/>
  <c r="P39" i="1"/>
  <c r="P47" i="1"/>
  <c r="P11" i="1"/>
  <c r="P19" i="1"/>
  <c r="P27" i="1"/>
  <c r="P54" i="1"/>
  <c r="P63" i="1"/>
  <c r="P71" i="1"/>
  <c r="P79" i="1"/>
  <c r="P87" i="1"/>
  <c r="P40" i="1"/>
  <c r="P48" i="1"/>
  <c r="P12" i="1"/>
  <c r="P20" i="1"/>
  <c r="P28" i="1"/>
  <c r="P55" i="1"/>
  <c r="P64" i="1"/>
  <c r="P72" i="1"/>
  <c r="P80" i="1"/>
  <c r="P29" i="1"/>
  <c r="P41" i="1"/>
  <c r="P49" i="1"/>
  <c r="P13" i="1"/>
  <c r="P21" i="1"/>
  <c r="P30" i="1"/>
  <c r="P56" i="1"/>
  <c r="P65" i="1"/>
  <c r="P73" i="1"/>
  <c r="P81" i="1"/>
  <c r="P34" i="1"/>
  <c r="P42" i="1"/>
  <c r="P50" i="1"/>
  <c r="P14" i="1"/>
  <c r="P22" i="1"/>
  <c r="P31" i="1"/>
  <c r="P57" i="1"/>
  <c r="P66" i="1"/>
  <c r="P74" i="1"/>
  <c r="P82" i="1"/>
  <c r="P33" i="1"/>
  <c r="P35" i="1"/>
  <c r="P43" i="1"/>
  <c r="P7" i="1"/>
  <c r="P15" i="1"/>
  <c r="P23" i="1"/>
  <c r="P32" i="1"/>
  <c r="P58" i="1"/>
  <c r="P67" i="1"/>
  <c r="P75" i="1"/>
  <c r="P83" i="1"/>
  <c r="P9" i="2"/>
  <c r="P79" i="2"/>
  <c r="P63" i="2"/>
  <c r="P46" i="2"/>
  <c r="P30" i="2"/>
  <c r="P85" i="2"/>
  <c r="P61" i="2"/>
  <c r="P36" i="2"/>
  <c r="P76" i="2"/>
  <c r="P74" i="2"/>
  <c r="P57" i="2"/>
  <c r="P49" i="2"/>
  <c r="P33" i="2"/>
  <c r="P25" i="2"/>
  <c r="P17" i="2"/>
  <c r="P81" i="2"/>
  <c r="P73" i="2"/>
  <c r="P65" i="2"/>
  <c r="P56" i="2"/>
  <c r="P48" i="2"/>
  <c r="P40" i="2"/>
  <c r="P32" i="2"/>
  <c r="P24" i="2"/>
  <c r="P16" i="2"/>
  <c r="P8" i="2"/>
  <c r="P77" i="2"/>
  <c r="P52" i="2"/>
  <c r="P28" i="2"/>
  <c r="P84" i="2"/>
  <c r="P82" i="2"/>
  <c r="P66" i="2"/>
  <c r="P41" i="2"/>
  <c r="P80" i="2"/>
  <c r="P72" i="2"/>
  <c r="P64" i="2"/>
  <c r="P55" i="2"/>
  <c r="P47" i="2"/>
  <c r="P39" i="2"/>
  <c r="P31" i="2"/>
  <c r="P23" i="2"/>
  <c r="P15" i="2"/>
  <c r="P7" i="2"/>
  <c r="P14" i="2"/>
  <c r="P86" i="2"/>
  <c r="P78" i="2"/>
  <c r="P70" i="2"/>
  <c r="P62" i="2"/>
  <c r="P53" i="2"/>
  <c r="P45" i="2"/>
  <c r="P37" i="2"/>
  <c r="P29" i="2"/>
  <c r="P21" i="2"/>
  <c r="P13" i="2"/>
  <c r="P12" i="2"/>
  <c r="P11" i="2"/>
  <c r="P87" i="2"/>
  <c r="P71" i="2"/>
  <c r="P54" i="2"/>
  <c r="P38" i="2"/>
  <c r="P22" i="2"/>
  <c r="P69" i="2"/>
  <c r="P44" i="2"/>
  <c r="P20" i="2"/>
  <c r="P68" i="2"/>
  <c r="P59" i="2"/>
  <c r="P51" i="2"/>
  <c r="P43" i="2"/>
  <c r="P35" i="2"/>
  <c r="P27" i="2"/>
  <c r="P19" i="2"/>
  <c r="P83" i="2"/>
  <c r="P75" i="2"/>
  <c r="P67" i="2"/>
  <c r="P58" i="2"/>
  <c r="P50" i="2"/>
  <c r="P42" i="2"/>
  <c r="P34" i="2"/>
  <c r="P26" i="2"/>
  <c r="P18" i="2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51" i="1"/>
  <c r="G51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33" i="1"/>
  <c r="G33" i="1" s="1"/>
</calcChain>
</file>

<file path=xl/sharedStrings.xml><?xml version="1.0" encoding="utf-8"?>
<sst xmlns="http://schemas.openxmlformats.org/spreadsheetml/2006/main" count="989" uniqueCount="73">
  <si>
    <t>NO</t>
  </si>
  <si>
    <t>R2</t>
  </si>
  <si>
    <t>MAE</t>
  </si>
  <si>
    <t>XGBoost</t>
  </si>
  <si>
    <t>RMSE</t>
  </si>
  <si>
    <t>XGBoost + RandomizedSearchCV</t>
  </si>
  <si>
    <t>n_iter = 100</t>
  </si>
  <si>
    <t>XGBoost + Bayesian Optuna</t>
  </si>
  <si>
    <t>Stacking Regressor + Ridge CV</t>
  </si>
  <si>
    <t>9 models regressor</t>
  </si>
  <si>
    <t>9 models regressor using hight n_estimator low learning rate</t>
  </si>
  <si>
    <t>Stacking Regressor Isolation Forest + Ridge CV</t>
  </si>
  <si>
    <t xml:space="preserve">Stacking Regressor LOF Polynomial Interaction + Ridge CV </t>
  </si>
  <si>
    <t>DATASET</t>
  </si>
  <si>
    <t xml:space="preserve">Stacking Regressor LOF Polynomial Interaction + Hubber Reg </t>
  </si>
  <si>
    <t>Stacking Regressor LOF Polynomial Interaction + ElasticNetCV</t>
  </si>
  <si>
    <t>Stacking Regressor LOF Polynomial Interaction + GB Reg</t>
  </si>
  <si>
    <t>Boiler Eff (%)</t>
  </si>
  <si>
    <t>NPHR (Kcal/Kwh)</t>
  </si>
  <si>
    <t>1 (3 Selected)</t>
  </si>
  <si>
    <t>2 (4 Selected)</t>
  </si>
  <si>
    <t>3 (Ops)</t>
  </si>
  <si>
    <t>4 (Cems)</t>
  </si>
  <si>
    <t>5 (Ops + CEMS)</t>
  </si>
  <si>
    <t>6 (5 Selected)</t>
  </si>
  <si>
    <t>FITUR 
SELECTED</t>
  </si>
  <si>
    <t>1 (Hybrid)</t>
  </si>
  <si>
    <t>2 (EFA)</t>
  </si>
  <si>
    <t>2 (Corr)</t>
  </si>
  <si>
    <t>n/a</t>
  </si>
  <si>
    <t>Max Error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</si>
  <si>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</si>
  <si>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</si>
  <si>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</si>
  <si>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</si>
  <si>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</si>
  <si>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</si>
  <si>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</si>
  <si>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</si>
  <si>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</si>
  <si>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max</t>
  </si>
  <si>
    <t>min</t>
  </si>
  <si>
    <t xml:space="preserve">Min Error
(1%) </t>
  </si>
  <si>
    <t>Max Error
(50%)</t>
  </si>
  <si>
    <t>R2
(20%)</t>
  </si>
  <si>
    <t>MAPE (%)
(15%)</t>
  </si>
  <si>
    <t>RMSE
(10%)</t>
  </si>
  <si>
    <t>MAE
(4%)</t>
  </si>
  <si>
    <t>MAPE</t>
  </si>
  <si>
    <t>Min Error</t>
  </si>
  <si>
    <t>1 (Ops)</t>
  </si>
  <si>
    <t>2 (Cems)</t>
  </si>
  <si>
    <t>3 (Ops + CEMS)</t>
  </si>
  <si>
    <t>4 (1 Selected)</t>
  </si>
  <si>
    <t>5 (2 Selected)</t>
  </si>
  <si>
    <t>6 (3 Selected)</t>
  </si>
  <si>
    <t xml:space="preserve">FEATURE 
ENGINEERING 
METHOD </t>
  </si>
  <si>
    <t>COLUMN</t>
  </si>
  <si>
    <t>% FEATURE REDUCTION</t>
  </si>
  <si>
    <t>% FEATURE USED</t>
  </si>
  <si>
    <t>TARGET</t>
  </si>
  <si>
    <t>PREDICTION MODEL</t>
  </si>
  <si>
    <t>WPPS (%)</t>
  </si>
  <si>
    <t>REMARKS</t>
  </si>
  <si>
    <t>Evaluation Metric</t>
  </si>
  <si>
    <t>Weight</t>
  </si>
  <si>
    <t>Reason</t>
  </si>
  <si>
    <t>Provides a huge instant penalty if the model misses far.</t>
  </si>
  <si>
    <t>It remains important as a validation of a common pattern, but is no longer the sole determinant.</t>
  </si>
  <si>
    <t>Focus on moderate daily operational accuracy.</t>
  </si>
  <si>
    <t>Helps suppress intermediate errors so that they do not develop into max errors.</t>
  </si>
  <si>
    <t>Additional penalties for average errors.</t>
  </si>
  <si>
    <t>As a complement to the lower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</si>
</sst>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(* #,##0.000_);_(* \(#,##0.000\);_(* &quot;-&quot;_);_(@_)"/>
    <numFmt numFmtId="165" formatCode="_(* #,##0.0000_);_(* \(#,##0.0000\);_(* &quot;-&quot;_);_(@_)"/>
    <numFmt numFmtId="166" formatCode="_(* #,##0.000000_);_(* \(#,##0.000000\);_(* &quot;-&quot;_);_(@_)"/>
    <numFmt numFmtId="167" formatCode="_(* #,##0.00_);_(* \(#,##0.00\);_(* &quot;-&quot;_);_(@_)"/>
    <numFmt numFmtId="168" formatCode="_(* #,##0.0_);_(* \(#,##0.0\);_(* &quot;-&quot;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6" fontId="0" fillId="3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65" fontId="0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0" fontId="0" fillId="0" borderId="1" xfId="2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left" vertical="center"/>
    </xf>
    <xf numFmtId="164" fontId="0" fillId="3" borderId="1" xfId="1" applyNumberFormat="1" applyFon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 wrapText="1"/>
    </xf>
    <xf numFmtId="167" fontId="0" fillId="3" borderId="1" xfId="1" applyNumberFormat="1" applyFont="1" applyFill="1" applyBorder="1" applyAlignment="1">
      <alignment horizontal="center" vertical="center" wrapText="1"/>
    </xf>
    <xf numFmtId="167" fontId="0" fillId="2" borderId="1" xfId="1" applyNumberFormat="1" applyFont="1" applyFill="1" applyBorder="1" applyAlignment="1">
      <alignment horizontal="center" vertical="center" wrapText="1"/>
    </xf>
    <xf numFmtId="167" fontId="0" fillId="4" borderId="1" xfId="1" applyNumberFormat="1" applyFont="1" applyFill="1" applyBorder="1" applyAlignment="1">
      <alignment horizontal="center" vertical="center" wrapText="1"/>
    </xf>
    <xf numFmtId="167" fontId="2" fillId="5" borderId="1" xfId="1" applyNumberFormat="1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 wrapText="1"/>
    </xf>
    <xf numFmtId="164" fontId="0" fillId="6" borderId="1" xfId="1" applyNumberFormat="1" applyFont="1" applyFill="1" applyBorder="1" applyAlignment="1">
      <alignment horizontal="center" vertical="center" wrapText="1"/>
    </xf>
    <xf numFmtId="168" fontId="0" fillId="2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7" fontId="1" fillId="3" borderId="1" xfId="1" applyNumberFormat="1" applyFont="1" applyFill="1" applyBorder="1" applyAlignment="1">
      <alignment horizontal="center" vertical="center"/>
    </xf>
    <xf numFmtId="167" fontId="0" fillId="6" borderId="1" xfId="1" applyNumberFormat="1" applyFont="1" applyFill="1" applyBorder="1" applyAlignment="1">
      <alignment horizontal="center" vertical="center" wrapText="1"/>
    </xf>
    <xf numFmtId="167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7" fontId="4" fillId="3" borderId="1" xfId="1" applyNumberFormat="1" applyFont="1" applyFill="1" applyBorder="1" applyAlignment="1">
      <alignment horizontal="center" vertical="center" wrapText="1"/>
    </xf>
    <xf numFmtId="168" fontId="4" fillId="2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167" fontId="4" fillId="5" borderId="1" xfId="1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7" fontId="4" fillId="6" borderId="1" xfId="1" applyNumberFormat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 wrapText="1"/>
    </xf>
    <xf numFmtId="164" fontId="0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6" fillId="0" borderId="0" xfId="0" applyFont="1"/>
    <xf numFmtId="9" fontId="6" fillId="0" borderId="0" xfId="0" applyNumberFormat="1" applyFont="1"/>
    <xf numFmtId="0" fontId="5" fillId="0" borderId="0" xfId="0" applyFont="1"/>
    <xf numFmtId="164" fontId="0" fillId="5" borderId="1" xfId="1" applyNumberFormat="1" applyFont="1" applyFill="1" applyBorder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 wrapText="1"/>
    </xf>
    <xf numFmtId="164" fontId="2" fillId="7" borderId="1" xfId="1" applyNumberFormat="1" applyFont="1" applyFill="1" applyBorder="1" applyAlignment="1">
      <alignment horizontal="center" vertical="center"/>
    </xf>
    <xf numFmtId="167" fontId="2" fillId="7" borderId="1" xfId="1" applyNumberFormat="1" applyFont="1" applyFill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073F-C54B-9042-ABE8-889EF505F6F5}">
  <dimension ref="A1:C7"/>
  <sheetViews>
    <sheetView zoomScale="194" workbookViewId="0">
      <selection activeCell="C8" sqref="C8"/>
    </sheetView>
  </sheetViews>
  <sheetFormatPr baseColWidth="10" defaultRowHeight="16" x14ac:dyDescent="0.2"/>
  <cols>
    <col min="1" max="1" width="17.83203125" bestFit="1" customWidth="1"/>
    <col min="2" max="2" width="7.6640625" bestFit="1" customWidth="1"/>
    <col min="3" max="3" width="88.6640625" bestFit="1" customWidth="1"/>
  </cols>
  <sheetData>
    <row r="1" spans="1:3" x14ac:dyDescent="0.2">
      <c r="A1" s="71" t="s">
        <v>64</v>
      </c>
      <c r="B1" s="71" t="s">
        <v>65</v>
      </c>
      <c r="C1" s="71" t="s">
        <v>66</v>
      </c>
    </row>
    <row r="2" spans="1:3" x14ac:dyDescent="0.2">
      <c r="A2" s="71" t="s">
        <v>30</v>
      </c>
      <c r="B2" s="72">
        <v>0.5</v>
      </c>
      <c r="C2" s="73" t="s">
        <v>67</v>
      </c>
    </row>
    <row r="3" spans="1:3" x14ac:dyDescent="0.2">
      <c r="A3" s="71" t="s">
        <v>1</v>
      </c>
      <c r="B3" s="72">
        <v>0.2</v>
      </c>
      <c r="C3" s="73" t="s">
        <v>68</v>
      </c>
    </row>
    <row r="4" spans="1:3" x14ac:dyDescent="0.2">
      <c r="A4" s="71" t="s">
        <v>48</v>
      </c>
      <c r="B4" s="72">
        <v>0.15</v>
      </c>
      <c r="C4" s="73" t="s">
        <v>69</v>
      </c>
    </row>
    <row r="5" spans="1:3" x14ac:dyDescent="0.2">
      <c r="A5" s="71" t="s">
        <v>4</v>
      </c>
      <c r="B5" s="72">
        <v>0.1</v>
      </c>
      <c r="C5" s="73" t="s">
        <v>70</v>
      </c>
    </row>
    <row r="6" spans="1:3" x14ac:dyDescent="0.2">
      <c r="A6" s="71" t="s">
        <v>2</v>
      </c>
      <c r="B6" s="72">
        <v>0.04</v>
      </c>
      <c r="C6" s="73" t="s">
        <v>71</v>
      </c>
    </row>
    <row r="7" spans="1:3" x14ac:dyDescent="0.2">
      <c r="A7" s="71" t="s">
        <v>49</v>
      </c>
      <c r="B7" s="72">
        <v>0.01</v>
      </c>
      <c r="C7" s="7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3EEA-8943-AC43-8C40-2FE5C833F58D}">
  <dimension ref="A3:Q87"/>
  <sheetViews>
    <sheetView topLeftCell="A3" zoomScale="150" workbookViewId="0">
      <pane xSplit="8" ySplit="3" topLeftCell="I6" activePane="bottomRight" state="frozen"/>
      <selection activeCell="A3" sqref="A3"/>
      <selection pane="topRight" activeCell="E3" sqref="E3"/>
      <selection pane="bottomLeft" activeCell="A5" sqref="A5"/>
      <selection pane="bottomRight" activeCell="I12" sqref="I12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6.1640625" style="1" bestFit="1" customWidth="1"/>
    <col min="4" max="4" width="13.83203125" style="4" customWidth="1"/>
    <col min="5" max="5" width="9.5" style="1" bestFit="1" customWidth="1"/>
    <col min="6" max="6" width="11.1640625" style="18" bestFit="1" customWidth="1"/>
    <col min="7" max="7" width="11.1640625" style="23" bestFit="1" customWidth="1"/>
    <col min="8" max="8" width="18" style="4" customWidth="1"/>
    <col min="9" max="9" width="53.33203125" style="2" bestFit="1" customWidth="1"/>
    <col min="10" max="12" width="10.83203125" style="3"/>
    <col min="13" max="13" width="10.1640625" style="2" bestFit="1" customWidth="1"/>
    <col min="14" max="15" width="10.83203125" style="1"/>
    <col min="16" max="16" width="12" style="1" bestFit="1" customWidth="1"/>
    <col min="17" max="17" width="49.83203125" style="1" bestFit="1" customWidth="1"/>
    <col min="18" max="16384" width="10.83203125" style="1"/>
  </cols>
  <sheetData>
    <row r="3" spans="1:17" x14ac:dyDescent="0.2">
      <c r="J3" s="3" t="s">
        <v>40</v>
      </c>
      <c r="K3" s="3">
        <f>MAX(K6:K87)</f>
        <v>70.707700000000003</v>
      </c>
      <c r="L3" s="3">
        <f t="shared" ref="L3:O3" si="0">MAX(L6:L87)</f>
        <v>84.527100000000004</v>
      </c>
      <c r="M3" s="3">
        <f t="shared" si="0"/>
        <v>2.85</v>
      </c>
      <c r="N3" s="3">
        <f t="shared" si="0"/>
        <v>268.74029999999999</v>
      </c>
      <c r="O3" s="3">
        <f t="shared" si="0"/>
        <v>3.0032000000000001</v>
      </c>
    </row>
    <row r="4" spans="1:17" x14ac:dyDescent="0.2">
      <c r="J4" s="3" t="s">
        <v>41</v>
      </c>
      <c r="K4" s="3">
        <f>MIN(K6:K87)</f>
        <v>0.8367</v>
      </c>
      <c r="L4" s="3">
        <f t="shared" ref="L4:O4" si="1">MIN(L6:L87)</f>
        <v>1</v>
      </c>
      <c r="M4" s="3">
        <f t="shared" si="1"/>
        <v>0.03</v>
      </c>
      <c r="N4" s="3">
        <f t="shared" si="1"/>
        <v>6.0339</v>
      </c>
      <c r="O4" s="3">
        <f t="shared" si="1"/>
        <v>3.3999999999999998E-3</v>
      </c>
    </row>
    <row r="5" spans="1:17" ht="51" x14ac:dyDescent="0.2">
      <c r="A5" s="5" t="s">
        <v>0</v>
      </c>
      <c r="B5" s="5" t="s">
        <v>13</v>
      </c>
      <c r="C5" s="6" t="s">
        <v>57</v>
      </c>
      <c r="D5" s="6" t="s">
        <v>56</v>
      </c>
      <c r="E5" s="6" t="s">
        <v>25</v>
      </c>
      <c r="F5" s="20" t="s">
        <v>58</v>
      </c>
      <c r="G5" s="21" t="s">
        <v>59</v>
      </c>
      <c r="H5" s="6" t="s">
        <v>60</v>
      </c>
      <c r="I5" s="5" t="s">
        <v>61</v>
      </c>
      <c r="J5" s="70" t="s">
        <v>44</v>
      </c>
      <c r="K5" s="70" t="s">
        <v>47</v>
      </c>
      <c r="L5" s="70" t="s">
        <v>46</v>
      </c>
      <c r="M5" s="70" t="s">
        <v>45</v>
      </c>
      <c r="N5" s="70" t="s">
        <v>43</v>
      </c>
      <c r="O5" s="70" t="s">
        <v>42</v>
      </c>
      <c r="P5" s="41" t="s">
        <v>62</v>
      </c>
      <c r="Q5" s="5" t="s">
        <v>63</v>
      </c>
    </row>
    <row r="6" spans="1:17" ht="17" x14ac:dyDescent="0.2">
      <c r="A6" s="7" t="s">
        <v>31</v>
      </c>
      <c r="B6" s="8" t="s">
        <v>19</v>
      </c>
      <c r="C6" s="8">
        <v>33</v>
      </c>
      <c r="D6" s="8" t="s">
        <v>26</v>
      </c>
      <c r="E6" s="8">
        <v>6</v>
      </c>
      <c r="F6" s="19">
        <f>+((C6-E6)/C6)</f>
        <v>0.81818181818181823</v>
      </c>
      <c r="G6" s="19">
        <f>100%-F6</f>
        <v>0.18181818181818177</v>
      </c>
      <c r="H6" s="8" t="s">
        <v>18</v>
      </c>
      <c r="I6" s="9" t="s">
        <v>3</v>
      </c>
      <c r="J6" s="15">
        <v>0.82110000000000005</v>
      </c>
      <c r="K6" s="15">
        <v>34.145600000000002</v>
      </c>
      <c r="L6" s="15">
        <v>45.602699999999999</v>
      </c>
      <c r="M6" s="34">
        <v>1.39</v>
      </c>
      <c r="N6" s="15">
        <v>183.92420000000001</v>
      </c>
      <c r="O6" s="15">
        <v>0.2843</v>
      </c>
      <c r="P6" s="48">
        <f>+(((0.2*J6*100)-(0.04*($K$3-K6)/($K$3-$K$4))-(0.1*($L$3-L6)/($L$3-$L$4))-(0.15*($M$3-M6)/($M$3-$M$4))-(0.5*($N$3-N6)/($N$3-$N$4))-(0.01*($O$3-O6)/($O$3-$O$4)))/20)*100</f>
        <v>80.531585739786522</v>
      </c>
      <c r="Q6" s="9"/>
    </row>
    <row r="7" spans="1:17" ht="17" x14ac:dyDescent="0.2">
      <c r="A7" s="7" t="s">
        <v>32</v>
      </c>
      <c r="B7" s="8" t="s">
        <v>19</v>
      </c>
      <c r="C7" s="8">
        <v>33</v>
      </c>
      <c r="D7" s="8" t="s">
        <v>26</v>
      </c>
      <c r="E7" s="8">
        <v>6</v>
      </c>
      <c r="F7" s="19">
        <f t="shared" ref="F7:F59" si="2">+((C7-E7)/C7)</f>
        <v>0.81818181818181823</v>
      </c>
      <c r="G7" s="19">
        <f t="shared" ref="G7:G59" si="3">100%-F7</f>
        <v>0.18181818181818177</v>
      </c>
      <c r="H7" s="8" t="s">
        <v>18</v>
      </c>
      <c r="I7" s="9" t="s">
        <v>5</v>
      </c>
      <c r="J7" s="15">
        <v>0.88439999999999996</v>
      </c>
      <c r="K7" s="15">
        <v>37.339399999999998</v>
      </c>
      <c r="L7" s="15">
        <v>36.662700000000001</v>
      </c>
      <c r="M7" s="34">
        <v>1.1100000000000001</v>
      </c>
      <c r="N7" s="33">
        <v>149.203</v>
      </c>
      <c r="O7" s="15">
        <v>4.0099999999999997E-2</v>
      </c>
      <c r="P7" s="48">
        <f t="shared" ref="P7:P70" si="4">+(((0.2*J7*100)-(0.04*($K$3-K7)/($K$3-$K$4))-(0.1*($L$3-L7)/($L$3-$L$4))-(0.15*($M$3-M7)/($M$3-$M$4))-(0.5*($N$3-N7)/($N$3-$N$4))-(0.01*($O$3-O7)/($O$3-$O$4)))/20)*100</f>
        <v>86.408255515905722</v>
      </c>
      <c r="Q7" s="9" t="s">
        <v>6</v>
      </c>
    </row>
    <row r="8" spans="1:17" ht="17" x14ac:dyDescent="0.2">
      <c r="A8" s="7" t="s">
        <v>33</v>
      </c>
      <c r="B8" s="8" t="s">
        <v>19</v>
      </c>
      <c r="C8" s="8">
        <v>33</v>
      </c>
      <c r="D8" s="8" t="s">
        <v>26</v>
      </c>
      <c r="E8" s="8">
        <v>6</v>
      </c>
      <c r="F8" s="19">
        <f t="shared" si="2"/>
        <v>0.81818181818181823</v>
      </c>
      <c r="G8" s="19">
        <f t="shared" si="3"/>
        <v>0.18181818181818177</v>
      </c>
      <c r="H8" s="8" t="s">
        <v>18</v>
      </c>
      <c r="I8" s="9" t="s">
        <v>7</v>
      </c>
      <c r="J8" s="15">
        <v>0.89490000000000003</v>
      </c>
      <c r="K8" s="15">
        <v>26.019600000000001</v>
      </c>
      <c r="L8" s="15">
        <v>34.961399999999998</v>
      </c>
      <c r="M8" s="34">
        <v>1.06</v>
      </c>
      <c r="N8" s="15">
        <v>147.1456</v>
      </c>
      <c r="O8" s="15">
        <v>6.2199999999999998E-2</v>
      </c>
      <c r="P8" s="48">
        <f t="shared" si="4"/>
        <v>87.383160992491796</v>
      </c>
      <c r="Q8" s="9"/>
    </row>
    <row r="9" spans="1:17" ht="17" x14ac:dyDescent="0.2">
      <c r="A9" s="7" t="s">
        <v>34</v>
      </c>
      <c r="B9" s="8" t="s">
        <v>19</v>
      </c>
      <c r="C9" s="8">
        <v>33</v>
      </c>
      <c r="D9" s="8" t="s">
        <v>26</v>
      </c>
      <c r="E9" s="8">
        <v>6</v>
      </c>
      <c r="F9" s="19">
        <f t="shared" si="2"/>
        <v>0.81818181818181823</v>
      </c>
      <c r="G9" s="19">
        <f t="shared" si="3"/>
        <v>0.18181818181818177</v>
      </c>
      <c r="H9" s="8" t="s">
        <v>18</v>
      </c>
      <c r="I9" s="9" t="s">
        <v>8</v>
      </c>
      <c r="J9" s="16">
        <v>0.9667</v>
      </c>
      <c r="K9" s="16">
        <v>16.270700000000001</v>
      </c>
      <c r="L9" s="16">
        <v>20.7666</v>
      </c>
      <c r="M9" s="36">
        <v>0.65</v>
      </c>
      <c r="N9" s="16">
        <v>46.307899999999997</v>
      </c>
      <c r="O9" s="16">
        <v>0.4526</v>
      </c>
      <c r="P9" s="68">
        <f t="shared" si="4"/>
        <v>93.388144364862455</v>
      </c>
      <c r="Q9" s="9" t="s">
        <v>9</v>
      </c>
    </row>
    <row r="10" spans="1:17" ht="17" x14ac:dyDescent="0.2">
      <c r="A10" s="7" t="s">
        <v>35</v>
      </c>
      <c r="B10" s="8" t="s">
        <v>19</v>
      </c>
      <c r="C10" s="8">
        <v>33</v>
      </c>
      <c r="D10" s="8" t="s">
        <v>26</v>
      </c>
      <c r="E10" s="8">
        <v>6</v>
      </c>
      <c r="F10" s="19">
        <f t="shared" si="2"/>
        <v>0.81818181818181823</v>
      </c>
      <c r="G10" s="19">
        <f t="shared" si="3"/>
        <v>0.18181818181818177</v>
      </c>
      <c r="H10" s="8" t="s">
        <v>18</v>
      </c>
      <c r="I10" s="9" t="s">
        <v>11</v>
      </c>
      <c r="J10" s="15">
        <v>0.94569999999999999</v>
      </c>
      <c r="K10" s="15">
        <v>14.8573</v>
      </c>
      <c r="L10" s="15">
        <v>20.065799999999999</v>
      </c>
      <c r="M10" s="34">
        <v>0.59</v>
      </c>
      <c r="N10" s="15">
        <v>61.589100000000002</v>
      </c>
      <c r="O10" s="15">
        <v>0.56940000000000002</v>
      </c>
      <c r="P10" s="48">
        <f t="shared" si="4"/>
        <v>91.411313823111854</v>
      </c>
      <c r="Q10" s="9" t="s">
        <v>10</v>
      </c>
    </row>
    <row r="11" spans="1:17" ht="17" x14ac:dyDescent="0.2">
      <c r="A11" s="7" t="s">
        <v>36</v>
      </c>
      <c r="B11" s="8" t="s">
        <v>19</v>
      </c>
      <c r="C11" s="8">
        <v>33</v>
      </c>
      <c r="D11" s="8" t="s">
        <v>26</v>
      </c>
      <c r="E11" s="8">
        <v>6</v>
      </c>
      <c r="F11" s="19">
        <f t="shared" si="2"/>
        <v>0.81818181818181823</v>
      </c>
      <c r="G11" s="19">
        <f t="shared" si="3"/>
        <v>0.18181818181818177</v>
      </c>
      <c r="H11" s="8" t="s">
        <v>18</v>
      </c>
      <c r="I11" s="9" t="s">
        <v>12</v>
      </c>
      <c r="J11" s="33">
        <v>0.94799999999999995</v>
      </c>
      <c r="K11" s="15">
        <v>17.7544</v>
      </c>
      <c r="L11" s="15">
        <v>24.4681</v>
      </c>
      <c r="M11" s="55">
        <v>0.71</v>
      </c>
      <c r="N11" s="56">
        <v>69.587800000000001</v>
      </c>
      <c r="O11" s="57">
        <v>5.1000000000000004E-3</v>
      </c>
      <c r="P11" s="48">
        <f t="shared" si="4"/>
        <v>91.774586570198338</v>
      </c>
      <c r="Q11" s="9" t="s">
        <v>9</v>
      </c>
    </row>
    <row r="12" spans="1:17" ht="17" x14ac:dyDescent="0.2">
      <c r="A12" s="7" t="s">
        <v>37</v>
      </c>
      <c r="B12" s="8" t="s">
        <v>19</v>
      </c>
      <c r="C12" s="8">
        <v>33</v>
      </c>
      <c r="D12" s="8" t="s">
        <v>26</v>
      </c>
      <c r="E12" s="8">
        <v>6</v>
      </c>
      <c r="F12" s="19">
        <f t="shared" si="2"/>
        <v>0.81818181818181823</v>
      </c>
      <c r="G12" s="19">
        <f t="shared" si="3"/>
        <v>0.18181818181818177</v>
      </c>
      <c r="H12" s="8" t="s">
        <v>18</v>
      </c>
      <c r="I12" s="9" t="s">
        <v>14</v>
      </c>
      <c r="J12" s="15">
        <v>0.94350000000000001</v>
      </c>
      <c r="K12" s="15">
        <v>18.290800000000001</v>
      </c>
      <c r="L12" s="15">
        <v>25.520299999999999</v>
      </c>
      <c r="M12" s="34">
        <v>0.74</v>
      </c>
      <c r="N12" s="15">
        <v>75.273799999999994</v>
      </c>
      <c r="O12" s="15">
        <v>0.51580000000000004</v>
      </c>
      <c r="P12" s="48">
        <f t="shared" si="4"/>
        <v>91.403021318467552</v>
      </c>
      <c r="Q12" s="9" t="s">
        <v>9</v>
      </c>
    </row>
    <row r="13" spans="1:17" ht="17" x14ac:dyDescent="0.2">
      <c r="A13" s="7" t="s">
        <v>38</v>
      </c>
      <c r="B13" s="8" t="s">
        <v>19</v>
      </c>
      <c r="C13" s="8">
        <v>33</v>
      </c>
      <c r="D13" s="8" t="s">
        <v>26</v>
      </c>
      <c r="E13" s="8">
        <v>6</v>
      </c>
      <c r="F13" s="19">
        <f t="shared" si="2"/>
        <v>0.81818181818181823</v>
      </c>
      <c r="G13" s="19">
        <f t="shared" si="3"/>
        <v>0.18181818181818177</v>
      </c>
      <c r="H13" s="8" t="s">
        <v>18</v>
      </c>
      <c r="I13" s="9" t="s">
        <v>15</v>
      </c>
      <c r="J13" s="15">
        <v>0.94810000000000005</v>
      </c>
      <c r="K13" s="15">
        <v>17.580500000000001</v>
      </c>
      <c r="L13" s="15">
        <v>24.4405</v>
      </c>
      <c r="M13" s="47">
        <v>0.7</v>
      </c>
      <c r="N13" s="15">
        <v>74.655299999999997</v>
      </c>
      <c r="O13" s="15">
        <v>0.25619999999999998</v>
      </c>
      <c r="P13" s="48">
        <f t="shared" si="4"/>
        <v>91.833673271368525</v>
      </c>
      <c r="Q13" s="9" t="s">
        <v>9</v>
      </c>
    </row>
    <row r="14" spans="1:17" ht="17" x14ac:dyDescent="0.2">
      <c r="A14" s="7" t="s">
        <v>39</v>
      </c>
      <c r="B14" s="8" t="s">
        <v>19</v>
      </c>
      <c r="C14" s="8">
        <v>33</v>
      </c>
      <c r="D14" s="8" t="s">
        <v>26</v>
      </c>
      <c r="E14" s="8">
        <v>6</v>
      </c>
      <c r="F14" s="19">
        <f t="shared" si="2"/>
        <v>0.81818181818181823</v>
      </c>
      <c r="G14" s="19">
        <f t="shared" si="3"/>
        <v>0.18181818181818177</v>
      </c>
      <c r="H14" s="8" t="s">
        <v>18</v>
      </c>
      <c r="I14" s="9" t="s">
        <v>16</v>
      </c>
      <c r="J14" s="15">
        <v>0.93879999999999997</v>
      </c>
      <c r="K14" s="15">
        <v>17.7759</v>
      </c>
      <c r="L14" s="15">
        <v>26.542200000000001</v>
      </c>
      <c r="M14" s="34">
        <v>0.71</v>
      </c>
      <c r="N14" s="15">
        <v>98.204099999999997</v>
      </c>
      <c r="O14" s="15">
        <v>0.2072</v>
      </c>
      <c r="P14" s="48">
        <f t="shared" si="4"/>
        <v>91.142754468553946</v>
      </c>
      <c r="Q14" s="9" t="s">
        <v>9</v>
      </c>
    </row>
    <row r="15" spans="1:17" ht="17" x14ac:dyDescent="0.2">
      <c r="A15" s="11" t="s">
        <v>31</v>
      </c>
      <c r="B15" s="11" t="s">
        <v>20</v>
      </c>
      <c r="C15" s="11">
        <v>11</v>
      </c>
      <c r="D15" s="12" t="s">
        <v>26</v>
      </c>
      <c r="E15" s="11">
        <v>9</v>
      </c>
      <c r="F15" s="22">
        <f t="shared" si="2"/>
        <v>0.18181818181818182</v>
      </c>
      <c r="G15" s="22">
        <f t="shared" si="3"/>
        <v>0.81818181818181812</v>
      </c>
      <c r="H15" s="12" t="s">
        <v>18</v>
      </c>
      <c r="I15" s="13" t="s">
        <v>3</v>
      </c>
      <c r="J15" s="14">
        <v>0.58889999999999998</v>
      </c>
      <c r="K15" s="14">
        <v>55.921500000000002</v>
      </c>
      <c r="L15" s="14">
        <v>69.142099999999999</v>
      </c>
      <c r="M15" s="35">
        <v>2.2599999999999998</v>
      </c>
      <c r="N15" s="39">
        <v>193.65819999999999</v>
      </c>
      <c r="O15" s="14">
        <v>1.8554999999999999</v>
      </c>
      <c r="P15" s="69">
        <f t="shared" si="4"/>
        <v>57.865029542377123</v>
      </c>
      <c r="Q15" s="13"/>
    </row>
    <row r="16" spans="1:17" ht="17" x14ac:dyDescent="0.2">
      <c r="A16" s="11" t="s">
        <v>32</v>
      </c>
      <c r="B16" s="11" t="s">
        <v>20</v>
      </c>
      <c r="C16" s="11">
        <v>11</v>
      </c>
      <c r="D16" s="12" t="s">
        <v>26</v>
      </c>
      <c r="E16" s="11">
        <v>9</v>
      </c>
      <c r="F16" s="22">
        <f t="shared" si="2"/>
        <v>0.18181818181818182</v>
      </c>
      <c r="G16" s="22">
        <f t="shared" si="3"/>
        <v>0.81818181818181812</v>
      </c>
      <c r="H16" s="12" t="s">
        <v>18</v>
      </c>
      <c r="I16" s="13" t="s">
        <v>5</v>
      </c>
      <c r="J16" s="14">
        <v>0.60886899999999999</v>
      </c>
      <c r="K16" s="14">
        <v>53.720793999999998</v>
      </c>
      <c r="L16" s="14">
        <v>67.437865000000002</v>
      </c>
      <c r="M16" s="35">
        <v>2.17</v>
      </c>
      <c r="N16" s="39">
        <v>193.761</v>
      </c>
      <c r="O16" s="14">
        <v>1.4040999999999999</v>
      </c>
      <c r="P16" s="69">
        <f t="shared" si="4"/>
        <v>59.814946786409394</v>
      </c>
      <c r="Q16" s="13" t="s">
        <v>6</v>
      </c>
    </row>
    <row r="17" spans="1:17" ht="17" x14ac:dyDescent="0.2">
      <c r="A17" s="11" t="s">
        <v>33</v>
      </c>
      <c r="B17" s="11" t="s">
        <v>20</v>
      </c>
      <c r="C17" s="11">
        <v>11</v>
      </c>
      <c r="D17" s="12" t="s">
        <v>26</v>
      </c>
      <c r="E17" s="11">
        <v>9</v>
      </c>
      <c r="F17" s="22">
        <f t="shared" si="2"/>
        <v>0.18181818181818182</v>
      </c>
      <c r="G17" s="22">
        <f t="shared" si="3"/>
        <v>0.81818181818181812</v>
      </c>
      <c r="H17" s="12" t="s">
        <v>18</v>
      </c>
      <c r="I17" s="13" t="s">
        <v>7</v>
      </c>
      <c r="J17" s="14">
        <v>0.62480000000000002</v>
      </c>
      <c r="K17" s="14">
        <v>52.056800000000003</v>
      </c>
      <c r="L17" s="14">
        <v>66.053600000000003</v>
      </c>
      <c r="M17" s="35">
        <v>2.11</v>
      </c>
      <c r="N17" s="14">
        <v>194.7603</v>
      </c>
      <c r="O17" s="14">
        <v>0.6028</v>
      </c>
      <c r="P17" s="69">
        <f t="shared" si="4"/>
        <v>61.375193745923482</v>
      </c>
      <c r="Q17" s="13"/>
    </row>
    <row r="18" spans="1:17" ht="17" x14ac:dyDescent="0.2">
      <c r="A18" s="11" t="s">
        <v>34</v>
      </c>
      <c r="B18" s="11" t="s">
        <v>20</v>
      </c>
      <c r="C18" s="11">
        <v>11</v>
      </c>
      <c r="D18" s="12" t="s">
        <v>26</v>
      </c>
      <c r="E18" s="11">
        <v>9</v>
      </c>
      <c r="F18" s="22">
        <f t="shared" si="2"/>
        <v>0.18181818181818182</v>
      </c>
      <c r="G18" s="22">
        <f t="shared" si="3"/>
        <v>0.81818181818181812</v>
      </c>
      <c r="H18" s="12" t="s">
        <v>18</v>
      </c>
      <c r="I18" s="13" t="s">
        <v>8</v>
      </c>
      <c r="J18" s="14">
        <v>0.63429199999999997</v>
      </c>
      <c r="K18" s="14">
        <v>53.545237</v>
      </c>
      <c r="L18" s="14">
        <v>68.792619000000002</v>
      </c>
      <c r="M18" s="35">
        <v>2.1800000000000002</v>
      </c>
      <c r="N18" s="14">
        <v>190.08789999999999</v>
      </c>
      <c r="O18" s="14">
        <v>1.3581000000000001</v>
      </c>
      <c r="P18" s="69">
        <f t="shared" si="4"/>
        <v>62.331792372400805</v>
      </c>
      <c r="Q18" s="13" t="s">
        <v>9</v>
      </c>
    </row>
    <row r="19" spans="1:17" ht="17" x14ac:dyDescent="0.2">
      <c r="A19" s="11" t="s">
        <v>35</v>
      </c>
      <c r="B19" s="11" t="s">
        <v>20</v>
      </c>
      <c r="C19" s="11">
        <v>11</v>
      </c>
      <c r="D19" s="12" t="s">
        <v>26</v>
      </c>
      <c r="E19" s="11">
        <v>9</v>
      </c>
      <c r="F19" s="22">
        <f t="shared" si="2"/>
        <v>0.18181818181818182</v>
      </c>
      <c r="G19" s="22">
        <f t="shared" si="3"/>
        <v>0.81818181818181812</v>
      </c>
      <c r="H19" s="12" t="s">
        <v>18</v>
      </c>
      <c r="I19" s="13" t="s">
        <v>11</v>
      </c>
      <c r="J19" s="39">
        <v>0.601997</v>
      </c>
      <c r="K19" s="14">
        <v>47.313203000000001</v>
      </c>
      <c r="L19" s="14">
        <v>64.015624000000003</v>
      </c>
      <c r="M19" s="35">
        <v>1.92</v>
      </c>
      <c r="N19" s="14">
        <v>260.92630000000003</v>
      </c>
      <c r="O19" s="14">
        <v>0.58689999999999998</v>
      </c>
      <c r="P19" s="69">
        <f t="shared" si="4"/>
        <v>59.64797645714647</v>
      </c>
      <c r="Q19" s="13" t="s">
        <v>10</v>
      </c>
    </row>
    <row r="20" spans="1:17" ht="17" x14ac:dyDescent="0.2">
      <c r="A20" s="11" t="s">
        <v>36</v>
      </c>
      <c r="B20" s="11" t="s">
        <v>20</v>
      </c>
      <c r="C20" s="11">
        <v>11</v>
      </c>
      <c r="D20" s="12" t="s">
        <v>26</v>
      </c>
      <c r="E20" s="11">
        <v>9</v>
      </c>
      <c r="F20" s="22">
        <f t="shared" si="2"/>
        <v>0.18181818181818182</v>
      </c>
      <c r="G20" s="22">
        <f t="shared" si="3"/>
        <v>0.81818181818181812</v>
      </c>
      <c r="H20" s="12" t="s">
        <v>18</v>
      </c>
      <c r="I20" s="13" t="s">
        <v>12</v>
      </c>
      <c r="J20" s="14">
        <v>0.64211799999999997</v>
      </c>
      <c r="K20" s="14">
        <v>43.92944</v>
      </c>
      <c r="L20" s="14">
        <v>60.391302000000003</v>
      </c>
      <c r="M20" s="35">
        <v>1.77</v>
      </c>
      <c r="N20" s="14">
        <v>205.54050000000001</v>
      </c>
      <c r="O20" s="14">
        <v>0.23519999999999999</v>
      </c>
      <c r="P20" s="69">
        <f t="shared" si="4"/>
        <v>63.055870170872218</v>
      </c>
      <c r="Q20" s="13" t="s">
        <v>9</v>
      </c>
    </row>
    <row r="21" spans="1:17" ht="17" x14ac:dyDescent="0.2">
      <c r="A21" s="11" t="s">
        <v>37</v>
      </c>
      <c r="B21" s="11" t="s">
        <v>20</v>
      </c>
      <c r="C21" s="11">
        <v>11</v>
      </c>
      <c r="D21" s="12" t="s">
        <v>26</v>
      </c>
      <c r="E21" s="11">
        <v>9</v>
      </c>
      <c r="F21" s="22">
        <f t="shared" si="2"/>
        <v>0.18181818181818182</v>
      </c>
      <c r="G21" s="22">
        <f t="shared" si="3"/>
        <v>0.81818181818181812</v>
      </c>
      <c r="H21" s="12" t="s">
        <v>18</v>
      </c>
      <c r="I21" s="13" t="s">
        <v>14</v>
      </c>
      <c r="J21" s="35">
        <v>0.64002599999999998</v>
      </c>
      <c r="K21" s="14">
        <v>43.629206000000003</v>
      </c>
      <c r="L21" s="14">
        <v>60.567529</v>
      </c>
      <c r="M21" s="35">
        <v>1.76</v>
      </c>
      <c r="N21" s="14">
        <v>208.03819999999999</v>
      </c>
      <c r="O21" s="14">
        <v>1.8427</v>
      </c>
      <c r="P21" s="69">
        <f t="shared" si="4"/>
        <v>62.894768493132823</v>
      </c>
      <c r="Q21" s="13" t="s">
        <v>9</v>
      </c>
    </row>
    <row r="22" spans="1:17" ht="17" x14ac:dyDescent="0.2">
      <c r="A22" s="11" t="s">
        <v>38</v>
      </c>
      <c r="B22" s="11" t="s">
        <v>20</v>
      </c>
      <c r="C22" s="11">
        <v>11</v>
      </c>
      <c r="D22" s="12" t="s">
        <v>26</v>
      </c>
      <c r="E22" s="11">
        <v>9</v>
      </c>
      <c r="F22" s="22">
        <f t="shared" si="2"/>
        <v>0.18181818181818182</v>
      </c>
      <c r="G22" s="22">
        <f t="shared" si="3"/>
        <v>0.81818181818181812</v>
      </c>
      <c r="H22" s="12" t="s">
        <v>18</v>
      </c>
      <c r="I22" s="13" t="s">
        <v>15</v>
      </c>
      <c r="J22" s="16">
        <v>0.64954299999999998</v>
      </c>
      <c r="K22" s="16">
        <v>44.235295000000001</v>
      </c>
      <c r="L22" s="16">
        <v>59.761516</v>
      </c>
      <c r="M22" s="36">
        <v>1.78</v>
      </c>
      <c r="N22" s="16">
        <v>193.50559999999999</v>
      </c>
      <c r="O22" s="16">
        <v>0.36890000000000001</v>
      </c>
      <c r="P22" s="68">
        <f t="shared" si="4"/>
        <v>63.685835718475516</v>
      </c>
      <c r="Q22" s="13" t="s">
        <v>9</v>
      </c>
    </row>
    <row r="23" spans="1:17" ht="17" x14ac:dyDescent="0.2">
      <c r="A23" s="11" t="s">
        <v>39</v>
      </c>
      <c r="B23" s="11" t="s">
        <v>20</v>
      </c>
      <c r="C23" s="11">
        <v>11</v>
      </c>
      <c r="D23" s="12" t="s">
        <v>26</v>
      </c>
      <c r="E23" s="11">
        <v>9</v>
      </c>
      <c r="F23" s="22">
        <f t="shared" si="2"/>
        <v>0.18181818181818182</v>
      </c>
      <c r="G23" s="22">
        <f t="shared" si="3"/>
        <v>0.81818181818181812</v>
      </c>
      <c r="H23" s="12" t="s">
        <v>18</v>
      </c>
      <c r="I23" s="13" t="s">
        <v>16</v>
      </c>
      <c r="J23" s="14">
        <v>0.62419000000000002</v>
      </c>
      <c r="K23" s="39">
        <v>46.833013999999999</v>
      </c>
      <c r="L23" s="14">
        <v>61.885435000000001</v>
      </c>
      <c r="M23" s="35">
        <v>1.89</v>
      </c>
      <c r="N23" s="14">
        <v>166.50569999999999</v>
      </c>
      <c r="O23" s="14">
        <v>1.3554999999999999</v>
      </c>
      <c r="P23" s="69">
        <f t="shared" si="4"/>
        <v>60.959445299489737</v>
      </c>
      <c r="Q23" s="13" t="s">
        <v>9</v>
      </c>
    </row>
    <row r="24" spans="1:17" ht="17" x14ac:dyDescent="0.2">
      <c r="A24" s="7" t="s">
        <v>31</v>
      </c>
      <c r="B24" s="7" t="s">
        <v>21</v>
      </c>
      <c r="C24" s="7">
        <v>33</v>
      </c>
      <c r="D24" s="8" t="s">
        <v>29</v>
      </c>
      <c r="E24" s="7">
        <v>33</v>
      </c>
      <c r="F24" s="19">
        <f t="shared" si="2"/>
        <v>0</v>
      </c>
      <c r="G24" s="19">
        <f t="shared" si="3"/>
        <v>1</v>
      </c>
      <c r="H24" s="8" t="s">
        <v>18</v>
      </c>
      <c r="I24" s="9" t="s">
        <v>3</v>
      </c>
      <c r="J24" s="57">
        <v>0.96199999999999997</v>
      </c>
      <c r="K24" s="56">
        <v>15.652699999999999</v>
      </c>
      <c r="L24" s="56">
        <v>21.0166</v>
      </c>
      <c r="M24" s="55">
        <v>0.63</v>
      </c>
      <c r="N24" s="56">
        <v>76.609800000000007</v>
      </c>
      <c r="O24" s="56">
        <v>0.1527</v>
      </c>
      <c r="P24" s="48">
        <f t="shared" si="4"/>
        <v>93.19591688365557</v>
      </c>
      <c r="Q24" s="9"/>
    </row>
    <row r="25" spans="1:17" ht="17" x14ac:dyDescent="0.2">
      <c r="A25" s="7" t="s">
        <v>32</v>
      </c>
      <c r="B25" s="7" t="s">
        <v>21</v>
      </c>
      <c r="C25" s="7">
        <v>33</v>
      </c>
      <c r="D25" s="8" t="s">
        <v>29</v>
      </c>
      <c r="E25" s="7">
        <v>33</v>
      </c>
      <c r="F25" s="19">
        <f t="shared" si="2"/>
        <v>0</v>
      </c>
      <c r="G25" s="19">
        <f t="shared" si="3"/>
        <v>1</v>
      </c>
      <c r="H25" s="8" t="s">
        <v>18</v>
      </c>
      <c r="I25" s="9" t="s">
        <v>5</v>
      </c>
      <c r="J25" s="56">
        <v>0.96840000000000004</v>
      </c>
      <c r="K25" s="56">
        <v>14.6096</v>
      </c>
      <c r="L25" s="56">
        <v>19.167300000000001</v>
      </c>
      <c r="M25" s="55">
        <v>0.59</v>
      </c>
      <c r="N25" s="56">
        <v>62.478900000000003</v>
      </c>
      <c r="O25" s="56">
        <v>1.9300000000000001E-2</v>
      </c>
      <c r="P25" s="48">
        <f t="shared" si="4"/>
        <v>93.674524991419204</v>
      </c>
      <c r="Q25" s="9" t="s">
        <v>6</v>
      </c>
    </row>
    <row r="26" spans="1:17" ht="17" x14ac:dyDescent="0.2">
      <c r="A26" s="7" t="s">
        <v>33</v>
      </c>
      <c r="B26" s="7" t="s">
        <v>21</v>
      </c>
      <c r="C26" s="7">
        <v>33</v>
      </c>
      <c r="D26" s="8" t="s">
        <v>29</v>
      </c>
      <c r="E26" s="7">
        <v>33</v>
      </c>
      <c r="F26" s="19">
        <f t="shared" si="2"/>
        <v>0</v>
      </c>
      <c r="G26" s="19">
        <f t="shared" si="3"/>
        <v>1</v>
      </c>
      <c r="H26" s="8" t="s">
        <v>18</v>
      </c>
      <c r="I26" s="9" t="s">
        <v>7</v>
      </c>
      <c r="J26" s="56">
        <v>0.96540000000000004</v>
      </c>
      <c r="K26" s="56">
        <v>15.394299999999999</v>
      </c>
      <c r="L26" s="56">
        <v>20.056799999999999</v>
      </c>
      <c r="M26" s="55">
        <v>0.62</v>
      </c>
      <c r="N26" s="56">
        <v>81.586600000000004</v>
      </c>
      <c r="O26" s="56">
        <v>5.91E-2</v>
      </c>
      <c r="P26" s="48">
        <f t="shared" si="4"/>
        <v>93.572572971771493</v>
      </c>
      <c r="Q26" s="9"/>
    </row>
    <row r="27" spans="1:17" ht="17" x14ac:dyDescent="0.2">
      <c r="A27" s="7" t="s">
        <v>34</v>
      </c>
      <c r="B27" s="7" t="s">
        <v>21</v>
      </c>
      <c r="C27" s="7">
        <v>33</v>
      </c>
      <c r="D27" s="8" t="s">
        <v>29</v>
      </c>
      <c r="E27" s="7">
        <v>33</v>
      </c>
      <c r="F27" s="19">
        <f t="shared" si="2"/>
        <v>0</v>
      </c>
      <c r="G27" s="19">
        <f t="shared" si="3"/>
        <v>1</v>
      </c>
      <c r="H27" s="8" t="s">
        <v>18</v>
      </c>
      <c r="I27" s="9" t="s">
        <v>8</v>
      </c>
      <c r="J27" s="56">
        <v>0.99970000000000003</v>
      </c>
      <c r="K27" s="56">
        <v>1.4782999999999999</v>
      </c>
      <c r="L27" s="56">
        <v>1.9562999999999999</v>
      </c>
      <c r="M27" s="55">
        <v>0.06</v>
      </c>
      <c r="N27" s="56">
        <v>6.5606999999999998</v>
      </c>
      <c r="O27" s="56">
        <v>5.7299999999999997E-2</v>
      </c>
      <c r="P27" s="48">
        <f t="shared" si="4"/>
        <v>95.991451334411067</v>
      </c>
      <c r="Q27" s="9" t="s">
        <v>9</v>
      </c>
    </row>
    <row r="28" spans="1:17" ht="17" x14ac:dyDescent="0.2">
      <c r="A28" s="7" t="s">
        <v>35</v>
      </c>
      <c r="B28" s="7" t="s">
        <v>21</v>
      </c>
      <c r="C28" s="7">
        <v>33</v>
      </c>
      <c r="D28" s="8" t="s">
        <v>29</v>
      </c>
      <c r="E28" s="7">
        <v>33</v>
      </c>
      <c r="F28" s="19">
        <f t="shared" si="2"/>
        <v>0</v>
      </c>
      <c r="G28" s="19">
        <f t="shared" si="3"/>
        <v>1</v>
      </c>
      <c r="H28" s="8" t="s">
        <v>18</v>
      </c>
      <c r="I28" s="9" t="s">
        <v>11</v>
      </c>
      <c r="J28" s="56">
        <v>0.99770000000000003</v>
      </c>
      <c r="K28" s="56">
        <v>3.5598000000000001</v>
      </c>
      <c r="L28" s="56">
        <v>1</v>
      </c>
      <c r="M28" s="55">
        <v>0.14000000000000001</v>
      </c>
      <c r="N28" s="56">
        <v>20.250599999999999</v>
      </c>
      <c r="O28" s="56">
        <v>1.5599999999999999E-2</v>
      </c>
      <c r="P28" s="48">
        <f t="shared" si="4"/>
        <v>95.942544081840538</v>
      </c>
      <c r="Q28" s="9" t="s">
        <v>10</v>
      </c>
    </row>
    <row r="29" spans="1:17" ht="17" x14ac:dyDescent="0.2">
      <c r="A29" s="7" t="s">
        <v>36</v>
      </c>
      <c r="B29" s="7" t="s">
        <v>21</v>
      </c>
      <c r="C29" s="7">
        <v>33</v>
      </c>
      <c r="D29" s="8" t="s">
        <v>29</v>
      </c>
      <c r="E29" s="7">
        <v>33</v>
      </c>
      <c r="F29" s="19">
        <f t="shared" si="2"/>
        <v>0</v>
      </c>
      <c r="G29" s="19">
        <f t="shared" si="3"/>
        <v>1</v>
      </c>
      <c r="H29" s="8" t="s">
        <v>18</v>
      </c>
      <c r="I29" s="9" t="s">
        <v>12</v>
      </c>
      <c r="J29" s="65">
        <v>0.99960000000000004</v>
      </c>
      <c r="K29" s="65">
        <v>0.8367</v>
      </c>
      <c r="L29" s="65">
        <v>1.8415999999999999</v>
      </c>
      <c r="M29" s="64">
        <v>0.03</v>
      </c>
      <c r="N29" s="65">
        <v>14.5084</v>
      </c>
      <c r="O29" s="65">
        <v>8.6E-3</v>
      </c>
      <c r="P29" s="74">
        <f t="shared" si="4"/>
        <v>96.045770671275548</v>
      </c>
      <c r="Q29" s="9" t="s">
        <v>9</v>
      </c>
    </row>
    <row r="30" spans="1:17" ht="17" x14ac:dyDescent="0.2">
      <c r="A30" s="7" t="s">
        <v>37</v>
      </c>
      <c r="B30" s="7" t="s">
        <v>21</v>
      </c>
      <c r="C30" s="7">
        <v>33</v>
      </c>
      <c r="D30" s="8" t="s">
        <v>29</v>
      </c>
      <c r="E30" s="7">
        <v>33</v>
      </c>
      <c r="F30" s="19">
        <f t="shared" si="2"/>
        <v>0</v>
      </c>
      <c r="G30" s="19">
        <f t="shared" si="3"/>
        <v>1</v>
      </c>
      <c r="H30" s="8" t="s">
        <v>18</v>
      </c>
      <c r="I30" s="9" t="s">
        <v>14</v>
      </c>
      <c r="J30" s="56">
        <v>0.95730000000000004</v>
      </c>
      <c r="K30" s="56">
        <v>3.9142999999999999</v>
      </c>
      <c r="L30" s="56">
        <v>20.917899999999999</v>
      </c>
      <c r="M30" s="55">
        <v>0.16</v>
      </c>
      <c r="N30" s="56">
        <v>186.2167</v>
      </c>
      <c r="O30" s="56">
        <v>4.9700000000000001E-2</v>
      </c>
      <c r="P30" s="48">
        <f t="shared" si="4"/>
        <v>93.608064169003697</v>
      </c>
      <c r="Q30" s="9" t="s">
        <v>9</v>
      </c>
    </row>
    <row r="31" spans="1:17" ht="17" x14ac:dyDescent="0.2">
      <c r="A31" s="7" t="s">
        <v>38</v>
      </c>
      <c r="B31" s="7" t="s">
        <v>21</v>
      </c>
      <c r="C31" s="7">
        <v>33</v>
      </c>
      <c r="D31" s="8" t="s">
        <v>29</v>
      </c>
      <c r="E31" s="7">
        <v>33</v>
      </c>
      <c r="F31" s="19">
        <f t="shared" si="2"/>
        <v>0</v>
      </c>
      <c r="G31" s="19">
        <f t="shared" si="3"/>
        <v>1</v>
      </c>
      <c r="H31" s="8" t="s">
        <v>18</v>
      </c>
      <c r="I31" s="9" t="s">
        <v>15</v>
      </c>
      <c r="J31" s="56">
        <v>0.95379999999999998</v>
      </c>
      <c r="K31" s="56">
        <v>3.9081999999999999</v>
      </c>
      <c r="L31" s="56">
        <v>20.877700000000001</v>
      </c>
      <c r="M31" s="55">
        <v>0.16</v>
      </c>
      <c r="N31" s="56">
        <v>185.83840000000001</v>
      </c>
      <c r="O31" s="56">
        <v>3.7900000000000003E-2</v>
      </c>
      <c r="P31" s="48">
        <f t="shared" si="4"/>
        <v>93.254009361519707</v>
      </c>
      <c r="Q31" s="9" t="s">
        <v>9</v>
      </c>
    </row>
    <row r="32" spans="1:17" ht="17" x14ac:dyDescent="0.2">
      <c r="A32" s="7" t="s">
        <v>39</v>
      </c>
      <c r="B32" s="7" t="s">
        <v>21</v>
      </c>
      <c r="C32" s="7">
        <v>33</v>
      </c>
      <c r="D32" s="8" t="s">
        <v>29</v>
      </c>
      <c r="E32" s="7">
        <v>33</v>
      </c>
      <c r="F32" s="19">
        <f t="shared" si="2"/>
        <v>0</v>
      </c>
      <c r="G32" s="19">
        <f t="shared" si="3"/>
        <v>1</v>
      </c>
      <c r="H32" s="8" t="s">
        <v>18</v>
      </c>
      <c r="I32" s="9" t="s">
        <v>16</v>
      </c>
      <c r="J32" s="56">
        <v>0.95399999999999996</v>
      </c>
      <c r="K32" s="56">
        <v>4.6962999999999999</v>
      </c>
      <c r="L32" s="56">
        <v>20.850899999999999</v>
      </c>
      <c r="M32" s="55">
        <v>0.2</v>
      </c>
      <c r="N32" s="56">
        <v>183.5042</v>
      </c>
      <c r="O32" s="56">
        <v>4.8800000000000003E-2</v>
      </c>
      <c r="P32" s="48">
        <f t="shared" si="4"/>
        <v>93.264711772312396</v>
      </c>
      <c r="Q32" s="9" t="s">
        <v>9</v>
      </c>
    </row>
    <row r="33" spans="1:17" ht="17" x14ac:dyDescent="0.2">
      <c r="A33" s="11" t="s">
        <v>31</v>
      </c>
      <c r="B33" s="11" t="s">
        <v>22</v>
      </c>
      <c r="C33" s="11">
        <v>11</v>
      </c>
      <c r="D33" s="12" t="s">
        <v>29</v>
      </c>
      <c r="E33" s="11">
        <v>11</v>
      </c>
      <c r="F33" s="17">
        <f t="shared" si="2"/>
        <v>0</v>
      </c>
      <c r="G33" s="22">
        <f t="shared" si="3"/>
        <v>1</v>
      </c>
      <c r="H33" s="12" t="s">
        <v>18</v>
      </c>
      <c r="I33" s="13" t="s">
        <v>3</v>
      </c>
      <c r="J33" s="14">
        <v>0.94130000000000003</v>
      </c>
      <c r="K33" s="14">
        <v>19.980499999999999</v>
      </c>
      <c r="L33" s="14">
        <v>26.122900000000001</v>
      </c>
      <c r="M33" s="50">
        <v>0.8</v>
      </c>
      <c r="N33" s="14">
        <v>80.588099999999997</v>
      </c>
      <c r="O33" s="14">
        <v>0.22889999999999999</v>
      </c>
      <c r="P33" s="69">
        <f t="shared" si="4"/>
        <v>91.253213236245642</v>
      </c>
      <c r="Q33" s="13"/>
    </row>
    <row r="34" spans="1:17" ht="17" x14ac:dyDescent="0.2">
      <c r="A34" s="11" t="s">
        <v>32</v>
      </c>
      <c r="B34" s="11" t="s">
        <v>22</v>
      </c>
      <c r="C34" s="11">
        <v>11</v>
      </c>
      <c r="D34" s="12" t="s">
        <v>29</v>
      </c>
      <c r="E34" s="11">
        <v>11</v>
      </c>
      <c r="F34" s="17">
        <f t="shared" si="2"/>
        <v>0</v>
      </c>
      <c r="G34" s="22">
        <f t="shared" si="3"/>
        <v>1</v>
      </c>
      <c r="H34" s="12" t="s">
        <v>18</v>
      </c>
      <c r="I34" s="13" t="s">
        <v>5</v>
      </c>
      <c r="J34" s="39">
        <v>0.93799999999999994</v>
      </c>
      <c r="K34" s="14">
        <v>19.911200000000001</v>
      </c>
      <c r="L34" s="14">
        <v>26.846599999999999</v>
      </c>
      <c r="M34" s="50">
        <v>0.8</v>
      </c>
      <c r="N34" s="14">
        <v>83.3125</v>
      </c>
      <c r="O34" s="14">
        <v>5.1299999999999998E-2</v>
      </c>
      <c r="P34" s="69">
        <f t="shared" si="4"/>
        <v>90.950313081480317</v>
      </c>
      <c r="Q34" s="13" t="s">
        <v>6</v>
      </c>
    </row>
    <row r="35" spans="1:17" ht="17" x14ac:dyDescent="0.2">
      <c r="A35" s="11" t="s">
        <v>33</v>
      </c>
      <c r="B35" s="11" t="s">
        <v>22</v>
      </c>
      <c r="C35" s="11">
        <v>11</v>
      </c>
      <c r="D35" s="12" t="s">
        <v>29</v>
      </c>
      <c r="E35" s="11">
        <v>11</v>
      </c>
      <c r="F35" s="17">
        <f t="shared" si="2"/>
        <v>0</v>
      </c>
      <c r="G35" s="22">
        <f t="shared" si="3"/>
        <v>1</v>
      </c>
      <c r="H35" s="12" t="s">
        <v>18</v>
      </c>
      <c r="I35" s="13" t="s">
        <v>7</v>
      </c>
      <c r="J35" s="14">
        <v>0.94630000000000003</v>
      </c>
      <c r="K35" s="14">
        <v>19.0944</v>
      </c>
      <c r="L35" s="14">
        <v>24.984100000000002</v>
      </c>
      <c r="M35" s="35">
        <v>0.77</v>
      </c>
      <c r="N35" s="14">
        <v>81.900899999999993</v>
      </c>
      <c r="O35" s="14">
        <v>0.1084</v>
      </c>
      <c r="P35" s="69">
        <f t="shared" si="4"/>
        <v>91.746365741941929</v>
      </c>
      <c r="Q35" s="13"/>
    </row>
    <row r="36" spans="1:17" ht="17" x14ac:dyDescent="0.2">
      <c r="A36" s="11" t="s">
        <v>34</v>
      </c>
      <c r="B36" s="11" t="s">
        <v>22</v>
      </c>
      <c r="C36" s="11">
        <v>11</v>
      </c>
      <c r="D36" s="12" t="s">
        <v>29</v>
      </c>
      <c r="E36" s="11">
        <v>11</v>
      </c>
      <c r="F36" s="17">
        <f t="shared" si="2"/>
        <v>0</v>
      </c>
      <c r="G36" s="22">
        <f t="shared" si="3"/>
        <v>1</v>
      </c>
      <c r="H36" s="12" t="s">
        <v>18</v>
      </c>
      <c r="I36" s="13" t="s">
        <v>8</v>
      </c>
      <c r="J36" s="16">
        <v>0.96150000000000002</v>
      </c>
      <c r="K36" s="16">
        <v>16.153199999999998</v>
      </c>
      <c r="L36" s="16">
        <v>22.326599999999999</v>
      </c>
      <c r="M36" s="36">
        <v>0.65</v>
      </c>
      <c r="N36" s="16">
        <v>86.449200000000005</v>
      </c>
      <c r="O36" s="16">
        <v>2.52E-2</v>
      </c>
      <c r="P36" s="68">
        <f t="shared" si="4"/>
        <v>93.252020244998647</v>
      </c>
      <c r="Q36" s="13" t="s">
        <v>9</v>
      </c>
    </row>
    <row r="37" spans="1:17" ht="17" x14ac:dyDescent="0.2">
      <c r="A37" s="11" t="s">
        <v>35</v>
      </c>
      <c r="B37" s="11" t="s">
        <v>22</v>
      </c>
      <c r="C37" s="11">
        <v>11</v>
      </c>
      <c r="D37" s="12" t="s">
        <v>29</v>
      </c>
      <c r="E37" s="11">
        <v>11</v>
      </c>
      <c r="F37" s="17">
        <f t="shared" si="2"/>
        <v>0</v>
      </c>
      <c r="G37" s="22">
        <f t="shared" si="3"/>
        <v>1</v>
      </c>
      <c r="H37" s="12" t="s">
        <v>18</v>
      </c>
      <c r="I37" s="13" t="s">
        <v>11</v>
      </c>
      <c r="J37" s="14">
        <v>0.94679999999999997</v>
      </c>
      <c r="K37" s="14">
        <v>17.0245</v>
      </c>
      <c r="L37" s="14">
        <v>22.450099999999999</v>
      </c>
      <c r="M37" s="35">
        <v>0.67</v>
      </c>
      <c r="N37" s="14">
        <v>80.652299999999997</v>
      </c>
      <c r="O37" s="39">
        <v>0.42730000000000001</v>
      </c>
      <c r="P37" s="69">
        <f t="shared" si="4"/>
        <v>91.742109617312252</v>
      </c>
      <c r="Q37" s="13" t="s">
        <v>10</v>
      </c>
    </row>
    <row r="38" spans="1:17" ht="17" x14ac:dyDescent="0.2">
      <c r="A38" s="11" t="s">
        <v>36</v>
      </c>
      <c r="B38" s="11" t="s">
        <v>22</v>
      </c>
      <c r="C38" s="11">
        <v>11</v>
      </c>
      <c r="D38" s="12" t="s">
        <v>29</v>
      </c>
      <c r="E38" s="11">
        <v>11</v>
      </c>
      <c r="F38" s="17">
        <f t="shared" si="2"/>
        <v>0</v>
      </c>
      <c r="G38" s="22">
        <f t="shared" si="3"/>
        <v>1</v>
      </c>
      <c r="H38" s="12" t="s">
        <v>18</v>
      </c>
      <c r="I38" s="13" t="s">
        <v>12</v>
      </c>
      <c r="J38" s="14">
        <v>0.88749999999999996</v>
      </c>
      <c r="K38" s="14">
        <v>19.333600000000001</v>
      </c>
      <c r="L38" s="14">
        <v>31.5002</v>
      </c>
      <c r="M38" s="35">
        <v>0.78</v>
      </c>
      <c r="N38" s="14">
        <v>207.0667</v>
      </c>
      <c r="O38" s="14">
        <v>0.9889</v>
      </c>
      <c r="P38" s="69">
        <f t="shared" si="4"/>
        <v>87.114510567134062</v>
      </c>
      <c r="Q38" s="13" t="s">
        <v>9</v>
      </c>
    </row>
    <row r="39" spans="1:17" ht="17" x14ac:dyDescent="0.2">
      <c r="A39" s="11" t="s">
        <v>37</v>
      </c>
      <c r="B39" s="11" t="s">
        <v>22</v>
      </c>
      <c r="C39" s="11">
        <v>11</v>
      </c>
      <c r="D39" s="12" t="s">
        <v>29</v>
      </c>
      <c r="E39" s="11">
        <v>11</v>
      </c>
      <c r="F39" s="17">
        <f t="shared" si="2"/>
        <v>0</v>
      </c>
      <c r="G39" s="22">
        <f t="shared" si="3"/>
        <v>1</v>
      </c>
      <c r="H39" s="12" t="s">
        <v>18</v>
      </c>
      <c r="I39" s="13" t="s">
        <v>14</v>
      </c>
      <c r="J39" s="14">
        <v>0.88870000000000005</v>
      </c>
      <c r="K39" s="14">
        <v>18.4771</v>
      </c>
      <c r="L39" s="14">
        <v>31.327100000000002</v>
      </c>
      <c r="M39" s="35">
        <v>0.75</v>
      </c>
      <c r="N39" s="14">
        <v>209.94579999999999</v>
      </c>
      <c r="O39" s="35">
        <v>0.08</v>
      </c>
      <c r="P39" s="69">
        <f t="shared" si="4"/>
        <v>87.235293105857465</v>
      </c>
      <c r="Q39" s="13" t="s">
        <v>9</v>
      </c>
    </row>
    <row r="40" spans="1:17" ht="17" x14ac:dyDescent="0.2">
      <c r="A40" s="11" t="s">
        <v>38</v>
      </c>
      <c r="B40" s="11" t="s">
        <v>22</v>
      </c>
      <c r="C40" s="11">
        <v>11</v>
      </c>
      <c r="D40" s="12" t="s">
        <v>29</v>
      </c>
      <c r="E40" s="11">
        <v>11</v>
      </c>
      <c r="F40" s="17">
        <f t="shared" si="2"/>
        <v>0</v>
      </c>
      <c r="G40" s="22">
        <f t="shared" si="3"/>
        <v>1</v>
      </c>
      <c r="H40" s="12" t="s">
        <v>18</v>
      </c>
      <c r="I40" s="13" t="s">
        <v>15</v>
      </c>
      <c r="J40" s="14">
        <v>0.8861</v>
      </c>
      <c r="K40" s="14">
        <v>18.636700000000001</v>
      </c>
      <c r="L40" s="14">
        <v>31.6995</v>
      </c>
      <c r="M40" s="35">
        <v>0.76</v>
      </c>
      <c r="N40" s="14">
        <v>217.5001</v>
      </c>
      <c r="O40" s="14">
        <v>3.2399999999999998E-2</v>
      </c>
      <c r="P40" s="69">
        <f t="shared" si="4"/>
        <v>87.051734541463134</v>
      </c>
      <c r="Q40" s="13" t="s">
        <v>9</v>
      </c>
    </row>
    <row r="41" spans="1:17" ht="17" x14ac:dyDescent="0.2">
      <c r="A41" s="11" t="s">
        <v>39</v>
      </c>
      <c r="B41" s="11" t="s">
        <v>22</v>
      </c>
      <c r="C41" s="11">
        <v>11</v>
      </c>
      <c r="D41" s="12" t="s">
        <v>29</v>
      </c>
      <c r="E41" s="11">
        <v>11</v>
      </c>
      <c r="F41" s="17">
        <f t="shared" si="2"/>
        <v>0</v>
      </c>
      <c r="G41" s="22">
        <f t="shared" si="3"/>
        <v>1</v>
      </c>
      <c r="H41" s="12" t="s">
        <v>18</v>
      </c>
      <c r="I41" s="13" t="s">
        <v>16</v>
      </c>
      <c r="J41" s="14">
        <v>0.86670000000000003</v>
      </c>
      <c r="K41" s="39">
        <v>20.356000000000002</v>
      </c>
      <c r="L41" s="14">
        <v>34.286799999999999</v>
      </c>
      <c r="M41" s="35">
        <v>0.83</v>
      </c>
      <c r="N41" s="14">
        <v>233.74520000000001</v>
      </c>
      <c r="O41" s="14">
        <v>0.55920000000000003</v>
      </c>
      <c r="P41" s="69">
        <f t="shared" si="4"/>
        <v>85.314134974267091</v>
      </c>
      <c r="Q41" s="13" t="s">
        <v>9</v>
      </c>
    </row>
    <row r="42" spans="1:17" ht="17" x14ac:dyDescent="0.2">
      <c r="A42" s="7" t="s">
        <v>31</v>
      </c>
      <c r="B42" s="7" t="s">
        <v>23</v>
      </c>
      <c r="C42" s="7">
        <v>44</v>
      </c>
      <c r="D42" s="8" t="s">
        <v>29</v>
      </c>
      <c r="E42" s="7">
        <v>44</v>
      </c>
      <c r="F42" s="19">
        <f t="shared" si="2"/>
        <v>0</v>
      </c>
      <c r="G42" s="19">
        <f t="shared" si="3"/>
        <v>1</v>
      </c>
      <c r="H42" s="8" t="s">
        <v>18</v>
      </c>
      <c r="I42" s="9" t="s">
        <v>3</v>
      </c>
      <c r="J42" s="15">
        <v>0.95679999999999998</v>
      </c>
      <c r="K42" s="15">
        <v>16.6647</v>
      </c>
      <c r="L42" s="15">
        <v>22.412400000000002</v>
      </c>
      <c r="M42" s="34">
        <v>0.67</v>
      </c>
      <c r="N42" s="15">
        <v>79.847800000000007</v>
      </c>
      <c r="O42" s="15">
        <v>8.9800000000000005E-2</v>
      </c>
      <c r="P42" s="48">
        <f t="shared" si="4"/>
        <v>92.727572784023721</v>
      </c>
      <c r="Q42" s="9"/>
    </row>
    <row r="43" spans="1:17" ht="17" x14ac:dyDescent="0.2">
      <c r="A43" s="7" t="s">
        <v>32</v>
      </c>
      <c r="B43" s="7" t="s">
        <v>23</v>
      </c>
      <c r="C43" s="7">
        <v>44</v>
      </c>
      <c r="D43" s="8" t="s">
        <v>29</v>
      </c>
      <c r="E43" s="7">
        <v>44</v>
      </c>
      <c r="F43" s="19">
        <f t="shared" si="2"/>
        <v>0</v>
      </c>
      <c r="G43" s="19">
        <f t="shared" si="3"/>
        <v>1</v>
      </c>
      <c r="H43" s="8" t="s">
        <v>18</v>
      </c>
      <c r="I43" s="9" t="s">
        <v>5</v>
      </c>
      <c r="J43" s="15">
        <v>0.96760000000000002</v>
      </c>
      <c r="K43" s="15">
        <v>14.964</v>
      </c>
      <c r="L43" s="15">
        <v>19.416799999999999</v>
      </c>
      <c r="M43" s="47">
        <v>0.6</v>
      </c>
      <c r="N43" s="15">
        <v>60.756500000000003</v>
      </c>
      <c r="O43" s="15">
        <v>3.3999999999999998E-3</v>
      </c>
      <c r="P43" s="48">
        <f t="shared" si="4"/>
        <v>93.583036594791778</v>
      </c>
      <c r="Q43" s="9" t="s">
        <v>6</v>
      </c>
    </row>
    <row r="44" spans="1:17" ht="17" x14ac:dyDescent="0.2">
      <c r="A44" s="7" t="s">
        <v>33</v>
      </c>
      <c r="B44" s="7" t="s">
        <v>23</v>
      </c>
      <c r="C44" s="7">
        <v>44</v>
      </c>
      <c r="D44" s="8" t="s">
        <v>29</v>
      </c>
      <c r="E44" s="7">
        <v>44</v>
      </c>
      <c r="F44" s="19">
        <f t="shared" si="2"/>
        <v>0</v>
      </c>
      <c r="G44" s="19">
        <f t="shared" si="3"/>
        <v>1</v>
      </c>
      <c r="H44" s="8" t="s">
        <v>18</v>
      </c>
      <c r="I44" s="9" t="s">
        <v>7</v>
      </c>
      <c r="J44" s="15">
        <v>0.96409999999999996</v>
      </c>
      <c r="K44" s="15">
        <v>15.327299999999999</v>
      </c>
      <c r="L44" s="15">
        <v>20.427800000000001</v>
      </c>
      <c r="M44" s="34">
        <v>0.62</v>
      </c>
      <c r="N44" s="15">
        <v>76.001800000000003</v>
      </c>
      <c r="O44" s="15">
        <v>5.8999999999999999E-3</v>
      </c>
      <c r="P44" s="48">
        <f t="shared" si="4"/>
        <v>93.39056851723096</v>
      </c>
      <c r="Q44" s="9"/>
    </row>
    <row r="45" spans="1:17" ht="17" x14ac:dyDescent="0.2">
      <c r="A45" s="7" t="s">
        <v>34</v>
      </c>
      <c r="B45" s="7" t="s">
        <v>23</v>
      </c>
      <c r="C45" s="7">
        <v>44</v>
      </c>
      <c r="D45" s="8" t="s">
        <v>29</v>
      </c>
      <c r="E45" s="7">
        <v>44</v>
      </c>
      <c r="F45" s="19">
        <f t="shared" si="2"/>
        <v>0</v>
      </c>
      <c r="G45" s="19">
        <f t="shared" si="3"/>
        <v>1</v>
      </c>
      <c r="H45" s="8" t="s">
        <v>18</v>
      </c>
      <c r="I45" s="9" t="s">
        <v>8</v>
      </c>
      <c r="J45" s="25">
        <v>0.99970000000000003</v>
      </c>
      <c r="K45" s="25">
        <v>1.4702</v>
      </c>
      <c r="L45" s="25">
        <v>2.0038</v>
      </c>
      <c r="M45" s="67">
        <v>0.06</v>
      </c>
      <c r="N45" s="66">
        <v>6.0339</v>
      </c>
      <c r="O45" s="66">
        <v>1.2200000000000001E-2</v>
      </c>
      <c r="P45" s="49">
        <f t="shared" si="4"/>
        <v>95.985947569851589</v>
      </c>
      <c r="Q45" s="9" t="s">
        <v>9</v>
      </c>
    </row>
    <row r="46" spans="1:17" ht="17" x14ac:dyDescent="0.2">
      <c r="A46" s="7" t="s">
        <v>35</v>
      </c>
      <c r="B46" s="7" t="s">
        <v>23</v>
      </c>
      <c r="C46" s="7">
        <v>44</v>
      </c>
      <c r="D46" s="8" t="s">
        <v>29</v>
      </c>
      <c r="E46" s="7">
        <v>44</v>
      </c>
      <c r="F46" s="19">
        <f t="shared" si="2"/>
        <v>0</v>
      </c>
      <c r="G46" s="19">
        <f t="shared" si="3"/>
        <v>1</v>
      </c>
      <c r="H46" s="8" t="s">
        <v>18</v>
      </c>
      <c r="I46" s="9" t="s">
        <v>11</v>
      </c>
      <c r="J46" s="15">
        <v>0.99809999999999999</v>
      </c>
      <c r="K46" s="15">
        <v>3.3805000000000001</v>
      </c>
      <c r="L46" s="15">
        <v>4.4843999999999999</v>
      </c>
      <c r="M46" s="34">
        <v>0.14000000000000001</v>
      </c>
      <c r="N46" s="15">
        <v>14.8521</v>
      </c>
      <c r="O46" s="15">
        <v>2.5100000000000001E-2</v>
      </c>
      <c r="P46" s="48">
        <f t="shared" si="4"/>
        <v>95.951673204254021</v>
      </c>
      <c r="Q46" s="9" t="s">
        <v>10</v>
      </c>
    </row>
    <row r="47" spans="1:17" ht="17" x14ac:dyDescent="0.2">
      <c r="A47" s="7" t="s">
        <v>36</v>
      </c>
      <c r="B47" s="7" t="s">
        <v>23</v>
      </c>
      <c r="C47" s="7">
        <v>44</v>
      </c>
      <c r="D47" s="8" t="s">
        <v>29</v>
      </c>
      <c r="E47" s="7">
        <v>44</v>
      </c>
      <c r="F47" s="19">
        <f t="shared" si="2"/>
        <v>0</v>
      </c>
      <c r="G47" s="19">
        <f t="shared" si="3"/>
        <v>1</v>
      </c>
      <c r="H47" s="8" t="s">
        <v>18</v>
      </c>
      <c r="I47" s="9" t="s">
        <v>12</v>
      </c>
      <c r="J47" s="15">
        <v>0.99960000000000004</v>
      </c>
      <c r="K47" s="15">
        <v>1.5428999999999999</v>
      </c>
      <c r="L47" s="15">
        <v>2.0447000000000002</v>
      </c>
      <c r="M47" s="53">
        <v>0.06</v>
      </c>
      <c r="N47" s="51">
        <v>6.2553999999999998</v>
      </c>
      <c r="O47" s="51">
        <v>3.9E-2</v>
      </c>
      <c r="P47" s="48">
        <f t="shared" si="4"/>
        <v>95.978955061222109</v>
      </c>
      <c r="Q47" s="9" t="s">
        <v>9</v>
      </c>
    </row>
    <row r="48" spans="1:17" ht="17" x14ac:dyDescent="0.2">
      <c r="A48" s="7" t="s">
        <v>37</v>
      </c>
      <c r="B48" s="7" t="s">
        <v>23</v>
      </c>
      <c r="C48" s="7">
        <v>44</v>
      </c>
      <c r="D48" s="8" t="s">
        <v>29</v>
      </c>
      <c r="E48" s="7">
        <v>44</v>
      </c>
      <c r="F48" s="19">
        <f t="shared" si="2"/>
        <v>0</v>
      </c>
      <c r="G48" s="19">
        <f t="shared" si="3"/>
        <v>1</v>
      </c>
      <c r="H48" s="8" t="s">
        <v>18</v>
      </c>
      <c r="I48" s="9" t="s">
        <v>14</v>
      </c>
      <c r="J48" s="15">
        <v>0.99929999999999997</v>
      </c>
      <c r="K48" s="15">
        <v>1.9769000000000001</v>
      </c>
      <c r="L48" s="15">
        <v>2.6095000000000002</v>
      </c>
      <c r="M48" s="34">
        <v>0.08</v>
      </c>
      <c r="N48" s="15">
        <v>7.7895000000000003</v>
      </c>
      <c r="O48" s="15">
        <v>9.4999999999999998E-3</v>
      </c>
      <c r="P48" s="48">
        <f t="shared" si="4"/>
        <v>95.973004735922473</v>
      </c>
      <c r="Q48" s="9" t="s">
        <v>9</v>
      </c>
    </row>
    <row r="49" spans="1:17" ht="17" x14ac:dyDescent="0.2">
      <c r="A49" s="7" t="s">
        <v>38</v>
      </c>
      <c r="B49" s="7" t="s">
        <v>23</v>
      </c>
      <c r="C49" s="7">
        <v>44</v>
      </c>
      <c r="D49" s="8" t="s">
        <v>29</v>
      </c>
      <c r="E49" s="7">
        <v>44</v>
      </c>
      <c r="F49" s="19">
        <f t="shared" si="2"/>
        <v>0</v>
      </c>
      <c r="G49" s="19">
        <f t="shared" si="3"/>
        <v>1</v>
      </c>
      <c r="H49" s="8" t="s">
        <v>18</v>
      </c>
      <c r="I49" s="9" t="s">
        <v>15</v>
      </c>
      <c r="J49" s="15">
        <v>0.99929999999999997</v>
      </c>
      <c r="K49" s="15">
        <v>1.9704999999999999</v>
      </c>
      <c r="L49" s="15">
        <v>2.6233</v>
      </c>
      <c r="M49" s="34">
        <v>0.08</v>
      </c>
      <c r="N49" s="15">
        <v>8.3558000000000003</v>
      </c>
      <c r="O49" s="15">
        <v>8.43E-2</v>
      </c>
      <c r="P49" s="48">
        <f t="shared" si="4"/>
        <v>95.97970487011554</v>
      </c>
      <c r="Q49" s="9" t="s">
        <v>9</v>
      </c>
    </row>
    <row r="50" spans="1:17" ht="17" x14ac:dyDescent="0.2">
      <c r="A50" s="7" t="s">
        <v>39</v>
      </c>
      <c r="B50" s="7" t="s">
        <v>23</v>
      </c>
      <c r="C50" s="7">
        <v>44</v>
      </c>
      <c r="D50" s="8" t="s">
        <v>29</v>
      </c>
      <c r="E50" s="7">
        <v>44</v>
      </c>
      <c r="F50" s="19">
        <f t="shared" si="2"/>
        <v>0</v>
      </c>
      <c r="G50" s="19">
        <f t="shared" si="3"/>
        <v>1</v>
      </c>
      <c r="H50" s="8" t="s">
        <v>18</v>
      </c>
      <c r="I50" s="9" t="s">
        <v>16</v>
      </c>
      <c r="J50" s="15">
        <v>0.99860000000000004</v>
      </c>
      <c r="K50" s="15">
        <v>2.7711999999999999</v>
      </c>
      <c r="L50" s="15">
        <v>3.7185999999999999</v>
      </c>
      <c r="M50" s="15">
        <v>0.11</v>
      </c>
      <c r="N50" s="15">
        <v>9.2197999999999993</v>
      </c>
      <c r="O50" s="15">
        <v>3.4500000000000003E-2</v>
      </c>
      <c r="P50" s="48">
        <f t="shared" si="4"/>
        <v>95.933924137385546</v>
      </c>
      <c r="Q50" s="9" t="s">
        <v>9</v>
      </c>
    </row>
    <row r="51" spans="1:17" ht="17" x14ac:dyDescent="0.2">
      <c r="A51" s="11" t="s">
        <v>31</v>
      </c>
      <c r="B51" s="11" t="s">
        <v>24</v>
      </c>
      <c r="C51" s="11">
        <v>44</v>
      </c>
      <c r="D51" s="12" t="s">
        <v>26</v>
      </c>
      <c r="E51" s="11">
        <v>12</v>
      </c>
      <c r="F51" s="22">
        <f t="shared" si="2"/>
        <v>0.72727272727272729</v>
      </c>
      <c r="G51" s="22">
        <f t="shared" si="3"/>
        <v>0.27272727272727271</v>
      </c>
      <c r="H51" s="12" t="s">
        <v>18</v>
      </c>
      <c r="I51" s="13" t="s">
        <v>3</v>
      </c>
      <c r="J51" s="60">
        <v>0.82679999999999998</v>
      </c>
      <c r="K51" s="60">
        <v>33.7883</v>
      </c>
      <c r="L51" s="60">
        <v>44.871699999999997</v>
      </c>
      <c r="M51" s="61">
        <v>1.37</v>
      </c>
      <c r="N51" s="60">
        <v>185.59289999999999</v>
      </c>
      <c r="O51" s="60">
        <v>0.4108</v>
      </c>
      <c r="P51" s="69">
        <f t="shared" si="4"/>
        <v>81.108856392325507</v>
      </c>
      <c r="Q51" s="13"/>
    </row>
    <row r="52" spans="1:17" ht="17" x14ac:dyDescent="0.2">
      <c r="A52" s="11" t="s">
        <v>32</v>
      </c>
      <c r="B52" s="11" t="s">
        <v>24</v>
      </c>
      <c r="C52" s="11">
        <v>44</v>
      </c>
      <c r="D52" s="12" t="s">
        <v>26</v>
      </c>
      <c r="E52" s="11">
        <v>12</v>
      </c>
      <c r="F52" s="22">
        <f t="shared" si="2"/>
        <v>0.72727272727272729</v>
      </c>
      <c r="G52" s="22">
        <f t="shared" si="3"/>
        <v>0.27272727272727271</v>
      </c>
      <c r="H52" s="12" t="s">
        <v>18</v>
      </c>
      <c r="I52" s="13" t="s">
        <v>5</v>
      </c>
      <c r="J52" s="60">
        <v>0.89780000000000004</v>
      </c>
      <c r="K52" s="60">
        <v>24.154699999999998</v>
      </c>
      <c r="L52" s="60">
        <v>34.476300000000002</v>
      </c>
      <c r="M52" s="61">
        <v>0.98</v>
      </c>
      <c r="N52" s="60">
        <v>181.24250000000001</v>
      </c>
      <c r="O52" s="62">
        <v>4.9000000000000002E-2</v>
      </c>
      <c r="P52" s="69">
        <f t="shared" si="4"/>
        <v>87.967899660120935</v>
      </c>
      <c r="Q52" s="13" t="s">
        <v>6</v>
      </c>
    </row>
    <row r="53" spans="1:17" ht="17" x14ac:dyDescent="0.2">
      <c r="A53" s="11" t="s">
        <v>33</v>
      </c>
      <c r="B53" s="11" t="s">
        <v>24</v>
      </c>
      <c r="C53" s="11">
        <v>44</v>
      </c>
      <c r="D53" s="12" t="s">
        <v>26</v>
      </c>
      <c r="E53" s="11">
        <v>12</v>
      </c>
      <c r="F53" s="22">
        <f t="shared" si="2"/>
        <v>0.72727272727272729</v>
      </c>
      <c r="G53" s="22">
        <f t="shared" si="3"/>
        <v>0.27272727272727271</v>
      </c>
      <c r="H53" s="12" t="s">
        <v>18</v>
      </c>
      <c r="I53" s="13" t="s">
        <v>7</v>
      </c>
      <c r="J53" s="60">
        <v>0.89829999999999999</v>
      </c>
      <c r="K53" s="60">
        <v>24.579499999999999</v>
      </c>
      <c r="L53" s="60">
        <v>34.390999999999998</v>
      </c>
      <c r="M53" s="63">
        <v>1</v>
      </c>
      <c r="N53" s="60">
        <v>172.7003</v>
      </c>
      <c r="O53" s="60">
        <v>2.0299999999999999E-2</v>
      </c>
      <c r="P53" s="69">
        <f t="shared" si="4"/>
        <v>87.942155417967726</v>
      </c>
      <c r="Q53" s="13"/>
    </row>
    <row r="54" spans="1:17" ht="17" x14ac:dyDescent="0.2">
      <c r="A54" s="11" t="s">
        <v>34</v>
      </c>
      <c r="B54" s="11" t="s">
        <v>24</v>
      </c>
      <c r="C54" s="11">
        <v>44</v>
      </c>
      <c r="D54" s="12" t="s">
        <v>26</v>
      </c>
      <c r="E54" s="11">
        <v>12</v>
      </c>
      <c r="F54" s="22">
        <f t="shared" si="2"/>
        <v>0.72727272727272729</v>
      </c>
      <c r="G54" s="22">
        <f t="shared" si="3"/>
        <v>0.27272727272727271</v>
      </c>
      <c r="H54" s="12" t="s">
        <v>18</v>
      </c>
      <c r="I54" s="13" t="s">
        <v>8</v>
      </c>
      <c r="J54" s="75">
        <v>0.99080000000000001</v>
      </c>
      <c r="K54" s="75">
        <v>7.6566999999999998</v>
      </c>
      <c r="L54" s="75">
        <v>10.885999999999999</v>
      </c>
      <c r="M54" s="76">
        <v>0.31</v>
      </c>
      <c r="N54" s="75">
        <v>42.146099999999997</v>
      </c>
      <c r="O54" s="75">
        <v>1.6299999999999999E-2</v>
      </c>
      <c r="P54" s="77">
        <f t="shared" si="4"/>
        <v>95.577038690673419</v>
      </c>
      <c r="Q54" s="13" t="s">
        <v>9</v>
      </c>
    </row>
    <row r="55" spans="1:17" ht="17" x14ac:dyDescent="0.2">
      <c r="A55" s="11" t="s">
        <v>35</v>
      </c>
      <c r="B55" s="11" t="s">
        <v>24</v>
      </c>
      <c r="C55" s="11">
        <v>44</v>
      </c>
      <c r="D55" s="12" t="s">
        <v>26</v>
      </c>
      <c r="E55" s="11">
        <v>12</v>
      </c>
      <c r="F55" s="22">
        <f t="shared" si="2"/>
        <v>0.72727272727272729</v>
      </c>
      <c r="G55" s="22">
        <f t="shared" si="3"/>
        <v>0.27272727272727271</v>
      </c>
      <c r="H55" s="12" t="s">
        <v>18</v>
      </c>
      <c r="I55" s="13" t="s">
        <v>11</v>
      </c>
      <c r="J55" s="60">
        <v>0.9859</v>
      </c>
      <c r="K55" s="60">
        <v>7.4593999999999996</v>
      </c>
      <c r="L55" s="60">
        <v>11.483499999999999</v>
      </c>
      <c r="M55" s="59">
        <v>0.3</v>
      </c>
      <c r="N55" s="60">
        <v>40.407200000000003</v>
      </c>
      <c r="O55" s="60">
        <v>0.38979999999999998</v>
      </c>
      <c r="P55" s="69">
        <f t="shared" si="4"/>
        <v>95.077068518708614</v>
      </c>
      <c r="Q55" s="13" t="s">
        <v>10</v>
      </c>
    </row>
    <row r="56" spans="1:17" ht="17" x14ac:dyDescent="0.2">
      <c r="A56" s="11" t="s">
        <v>36</v>
      </c>
      <c r="B56" s="11" t="s">
        <v>24</v>
      </c>
      <c r="C56" s="11">
        <v>44</v>
      </c>
      <c r="D56" s="12" t="s">
        <v>26</v>
      </c>
      <c r="E56" s="11">
        <v>12</v>
      </c>
      <c r="F56" s="22">
        <f t="shared" si="2"/>
        <v>0.72727272727272729</v>
      </c>
      <c r="G56" s="22">
        <f t="shared" si="3"/>
        <v>0.27272727272727271</v>
      </c>
      <c r="H56" s="12" t="s">
        <v>18</v>
      </c>
      <c r="I56" s="13" t="s">
        <v>12</v>
      </c>
      <c r="J56" s="60">
        <v>0.98839999999999995</v>
      </c>
      <c r="K56" s="62">
        <v>6.7450000000000001</v>
      </c>
      <c r="L56" s="60">
        <v>9.9245999999999999</v>
      </c>
      <c r="M56" s="61">
        <v>0.27</v>
      </c>
      <c r="N56" s="60">
        <v>38.362299999999998</v>
      </c>
      <c r="O56" s="60">
        <v>3.3399999999999999E-2</v>
      </c>
      <c r="P56" s="69">
        <f t="shared" si="4"/>
        <v>95.282312848989875</v>
      </c>
      <c r="Q56" s="13" t="s">
        <v>9</v>
      </c>
    </row>
    <row r="57" spans="1:17" ht="17" x14ac:dyDescent="0.2">
      <c r="A57" s="11" t="s">
        <v>37</v>
      </c>
      <c r="B57" s="11" t="s">
        <v>24</v>
      </c>
      <c r="C57" s="11">
        <v>44</v>
      </c>
      <c r="D57" s="12" t="s">
        <v>26</v>
      </c>
      <c r="E57" s="11">
        <v>12</v>
      </c>
      <c r="F57" s="22">
        <f t="shared" si="2"/>
        <v>0.72727272727272729</v>
      </c>
      <c r="G57" s="22">
        <f t="shared" si="3"/>
        <v>0.27272727272727271</v>
      </c>
      <c r="H57" s="12" t="s">
        <v>18</v>
      </c>
      <c r="I57" s="13" t="s">
        <v>14</v>
      </c>
      <c r="J57" s="60">
        <v>0.98709999999999998</v>
      </c>
      <c r="K57" s="62">
        <v>7.0170000000000003</v>
      </c>
      <c r="L57" s="60">
        <v>10.471500000000001</v>
      </c>
      <c r="M57" s="61">
        <v>0.28000000000000003</v>
      </c>
      <c r="N57" s="60">
        <v>41.380400000000002</v>
      </c>
      <c r="O57" s="62">
        <v>1.6E-2</v>
      </c>
      <c r="P57" s="69">
        <f t="shared" si="4"/>
        <v>95.1874559960103</v>
      </c>
      <c r="Q57" s="13" t="s">
        <v>9</v>
      </c>
    </row>
    <row r="58" spans="1:17" ht="17" x14ac:dyDescent="0.2">
      <c r="A58" s="11" t="s">
        <v>38</v>
      </c>
      <c r="B58" s="11" t="s">
        <v>24</v>
      </c>
      <c r="C58" s="11">
        <v>44</v>
      </c>
      <c r="D58" s="12" t="s">
        <v>26</v>
      </c>
      <c r="E58" s="11">
        <v>12</v>
      </c>
      <c r="F58" s="22">
        <f t="shared" si="2"/>
        <v>0.72727272727272729</v>
      </c>
      <c r="G58" s="22">
        <f t="shared" si="3"/>
        <v>0.27272727272727271</v>
      </c>
      <c r="H58" s="12" t="s">
        <v>18</v>
      </c>
      <c r="I58" s="13" t="s">
        <v>15</v>
      </c>
      <c r="J58" s="60">
        <v>0.98780000000000001</v>
      </c>
      <c r="K58" s="60">
        <v>6.8501000000000003</v>
      </c>
      <c r="L58" s="60">
        <v>10.173400000000001</v>
      </c>
      <c r="M58" s="61">
        <v>0.27</v>
      </c>
      <c r="N58" s="60">
        <v>39.750700000000002</v>
      </c>
      <c r="O58" s="60">
        <v>4.4499999999999998E-2</v>
      </c>
      <c r="P58" s="69">
        <f t="shared" si="4"/>
        <v>95.237500506805048</v>
      </c>
      <c r="Q58" s="13" t="s">
        <v>9</v>
      </c>
    </row>
    <row r="59" spans="1:17" ht="17" x14ac:dyDescent="0.2">
      <c r="A59" s="11" t="s">
        <v>39</v>
      </c>
      <c r="B59" s="11" t="s">
        <v>24</v>
      </c>
      <c r="C59" s="11">
        <v>44</v>
      </c>
      <c r="D59" s="12" t="s">
        <v>26</v>
      </c>
      <c r="E59" s="11">
        <v>12</v>
      </c>
      <c r="F59" s="22">
        <f t="shared" si="2"/>
        <v>0.72727272727272729</v>
      </c>
      <c r="G59" s="22">
        <f t="shared" si="3"/>
        <v>0.27272727272727271</v>
      </c>
      <c r="H59" s="12" t="s">
        <v>18</v>
      </c>
      <c r="I59" s="13" t="s">
        <v>16</v>
      </c>
      <c r="J59" s="60">
        <v>0.99019999999999997</v>
      </c>
      <c r="K59" s="60">
        <v>6.1272000000000002</v>
      </c>
      <c r="L59" s="60">
        <v>9.1513000000000009</v>
      </c>
      <c r="M59" s="61">
        <v>0.24</v>
      </c>
      <c r="N59" s="60">
        <v>41.654299999999999</v>
      </c>
      <c r="O59" s="60">
        <v>0.17130000000000001</v>
      </c>
      <c r="P59" s="69">
        <f t="shared" si="4"/>
        <v>95.481562922209591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30"/>
      <c r="G60" s="31"/>
      <c r="H60" s="6"/>
      <c r="I60" s="27"/>
      <c r="J60" s="29"/>
      <c r="K60" s="29"/>
      <c r="L60" s="29"/>
      <c r="M60" s="27"/>
      <c r="P60" s="48"/>
    </row>
    <row r="61" spans="1:17" ht="17" x14ac:dyDescent="0.2">
      <c r="A61" s="7" t="s">
        <v>31</v>
      </c>
      <c r="B61" s="8" t="s">
        <v>19</v>
      </c>
      <c r="C61" s="8">
        <v>33</v>
      </c>
      <c r="D61" s="8" t="s">
        <v>27</v>
      </c>
      <c r="E61" s="8">
        <v>18</v>
      </c>
      <c r="F61" s="19">
        <f>+((C61-E61)/C61)</f>
        <v>0.45454545454545453</v>
      </c>
      <c r="G61" s="19">
        <f>100%-F61</f>
        <v>0.54545454545454541</v>
      </c>
      <c r="H61" s="8" t="s">
        <v>18</v>
      </c>
      <c r="I61" s="9" t="s">
        <v>3</v>
      </c>
      <c r="J61" s="15">
        <v>0.41510000000000002</v>
      </c>
      <c r="K61" s="15">
        <v>70.260599999999997</v>
      </c>
      <c r="L61" s="15">
        <v>82.469700000000003</v>
      </c>
      <c r="M61" s="34">
        <v>2.83</v>
      </c>
      <c r="N61" s="15">
        <v>230.12450000000001</v>
      </c>
      <c r="O61" s="15">
        <v>0.16370000000000001</v>
      </c>
      <c r="P61" s="48">
        <f t="shared" si="4"/>
        <v>41.076276566350494</v>
      </c>
      <c r="Q61" s="9"/>
    </row>
    <row r="62" spans="1:17" ht="17" x14ac:dyDescent="0.2">
      <c r="A62" s="7" t="s">
        <v>32</v>
      </c>
      <c r="B62" s="8" t="s">
        <v>19</v>
      </c>
      <c r="C62" s="8">
        <v>33</v>
      </c>
      <c r="D62" s="8" t="s">
        <v>27</v>
      </c>
      <c r="E62" s="8">
        <v>18</v>
      </c>
      <c r="F62" s="19">
        <f t="shared" ref="F62:F87" si="5">+((C62-E62)/C62)</f>
        <v>0.45454545454545453</v>
      </c>
      <c r="G62" s="19">
        <f t="shared" ref="G62:G87" si="6">100%-F62</f>
        <v>0.54545454545454541</v>
      </c>
      <c r="H62" s="8" t="s">
        <v>18</v>
      </c>
      <c r="I62" s="9" t="s">
        <v>5</v>
      </c>
      <c r="J62" s="15">
        <v>0.43380000000000002</v>
      </c>
      <c r="K62" s="15">
        <v>69.043599999999998</v>
      </c>
      <c r="L62" s="34">
        <v>81.14</v>
      </c>
      <c r="M62" s="34">
        <v>2.78</v>
      </c>
      <c r="N62" s="15">
        <v>219.6951</v>
      </c>
      <c r="O62" s="15">
        <v>1.0012000000000001</v>
      </c>
      <c r="P62" s="48">
        <f t="shared" si="4"/>
        <v>42.836245122751514</v>
      </c>
      <c r="Q62" s="9" t="s">
        <v>6</v>
      </c>
    </row>
    <row r="63" spans="1:17" ht="17" x14ac:dyDescent="0.2">
      <c r="A63" s="7" t="s">
        <v>33</v>
      </c>
      <c r="B63" s="8" t="s">
        <v>19</v>
      </c>
      <c r="C63" s="8">
        <v>33</v>
      </c>
      <c r="D63" s="8" t="s">
        <v>27</v>
      </c>
      <c r="E63" s="8">
        <v>18</v>
      </c>
      <c r="F63" s="19">
        <f t="shared" si="5"/>
        <v>0.45454545454545453</v>
      </c>
      <c r="G63" s="19">
        <f t="shared" si="6"/>
        <v>0.54545454545454541</v>
      </c>
      <c r="H63" s="8" t="s">
        <v>18</v>
      </c>
      <c r="I63" s="9" t="s">
        <v>7</v>
      </c>
      <c r="J63" s="15">
        <v>0.38550000000000001</v>
      </c>
      <c r="K63" s="15">
        <v>70.707700000000003</v>
      </c>
      <c r="L63" s="15">
        <v>84.527100000000004</v>
      </c>
      <c r="M63" s="34">
        <v>2.85</v>
      </c>
      <c r="N63" s="15">
        <v>237.4478</v>
      </c>
      <c r="O63" s="15">
        <v>0.2049</v>
      </c>
      <c r="P63" s="48">
        <f t="shared" si="4"/>
        <v>38.20556889547025</v>
      </c>
      <c r="Q63" s="9"/>
    </row>
    <row r="64" spans="1:17" ht="17" x14ac:dyDescent="0.2">
      <c r="A64" s="7" t="s">
        <v>34</v>
      </c>
      <c r="B64" s="8" t="s">
        <v>19</v>
      </c>
      <c r="C64" s="8">
        <v>33</v>
      </c>
      <c r="D64" s="8" t="s">
        <v>27</v>
      </c>
      <c r="E64" s="8">
        <v>18</v>
      </c>
      <c r="F64" s="19">
        <f t="shared" si="5"/>
        <v>0.45454545454545453</v>
      </c>
      <c r="G64" s="19">
        <f t="shared" si="6"/>
        <v>0.54545454545454541</v>
      </c>
      <c r="H64" s="8" t="s">
        <v>18</v>
      </c>
      <c r="I64" s="9" t="s">
        <v>8</v>
      </c>
      <c r="J64" s="16">
        <v>0.54059999999999997</v>
      </c>
      <c r="K64" s="16">
        <v>62.588200000000001</v>
      </c>
      <c r="L64" s="16">
        <v>77.103899999999996</v>
      </c>
      <c r="M64" s="36">
        <v>2.52</v>
      </c>
      <c r="N64" s="16">
        <v>183.19720000000001</v>
      </c>
      <c r="O64" s="16">
        <v>1.8122</v>
      </c>
      <c r="P64" s="68">
        <f t="shared" si="4"/>
        <v>53.070649329635721</v>
      </c>
      <c r="Q64" s="9" t="s">
        <v>9</v>
      </c>
    </row>
    <row r="65" spans="1:17" ht="17" x14ac:dyDescent="0.2">
      <c r="A65" s="7" t="s">
        <v>35</v>
      </c>
      <c r="B65" s="8" t="s">
        <v>19</v>
      </c>
      <c r="C65" s="8">
        <v>33</v>
      </c>
      <c r="D65" s="8" t="s">
        <v>27</v>
      </c>
      <c r="E65" s="8">
        <v>18</v>
      </c>
      <c r="F65" s="19">
        <f t="shared" si="5"/>
        <v>0.45454545454545453</v>
      </c>
      <c r="G65" s="19">
        <f t="shared" si="6"/>
        <v>0.54545454545454541</v>
      </c>
      <c r="H65" s="8" t="s">
        <v>18</v>
      </c>
      <c r="I65" s="9" t="s">
        <v>11</v>
      </c>
      <c r="J65" s="15">
        <v>0.47849999999999998</v>
      </c>
      <c r="K65" s="15">
        <v>59.391199999999998</v>
      </c>
      <c r="L65" s="15">
        <v>78.557500000000005</v>
      </c>
      <c r="M65" s="47">
        <v>2.4</v>
      </c>
      <c r="N65" s="15">
        <v>268.74029999999999</v>
      </c>
      <c r="O65" s="15">
        <v>0.69930000000000003</v>
      </c>
      <c r="P65" s="48">
        <f t="shared" si="4"/>
        <v>47.623791193437548</v>
      </c>
      <c r="Q65" s="9" t="s">
        <v>10</v>
      </c>
    </row>
    <row r="66" spans="1:17" ht="17" x14ac:dyDescent="0.2">
      <c r="A66" s="7" t="s">
        <v>36</v>
      </c>
      <c r="B66" s="8" t="s">
        <v>19</v>
      </c>
      <c r="C66" s="8">
        <v>33</v>
      </c>
      <c r="D66" s="8" t="s">
        <v>27</v>
      </c>
      <c r="E66" s="8">
        <v>18</v>
      </c>
      <c r="F66" s="19">
        <f t="shared" si="5"/>
        <v>0.45454545454545453</v>
      </c>
      <c r="G66" s="19">
        <f t="shared" si="6"/>
        <v>0.54545454545454541</v>
      </c>
      <c r="H66" s="8" t="s">
        <v>18</v>
      </c>
      <c r="I66" s="9" t="s">
        <v>12</v>
      </c>
      <c r="J66" s="56">
        <v>0.40160000000000001</v>
      </c>
      <c r="K66" s="56">
        <v>58.572400000000002</v>
      </c>
      <c r="L66" s="56">
        <v>71.993899999999996</v>
      </c>
      <c r="M66" s="34">
        <v>2.34</v>
      </c>
      <c r="N66" s="33">
        <v>200.41499999999999</v>
      </c>
      <c r="O66" s="15">
        <v>2.2499999999999999E-2</v>
      </c>
      <c r="P66" s="48">
        <f t="shared" si="4"/>
        <v>39.214713109236243</v>
      </c>
      <c r="Q66" s="9" t="s">
        <v>9</v>
      </c>
    </row>
    <row r="67" spans="1:17" ht="17" x14ac:dyDescent="0.2">
      <c r="A67" s="7" t="s">
        <v>37</v>
      </c>
      <c r="B67" s="8" t="s">
        <v>19</v>
      </c>
      <c r="C67" s="8">
        <v>33</v>
      </c>
      <c r="D67" s="8" t="s">
        <v>27</v>
      </c>
      <c r="E67" s="8">
        <v>18</v>
      </c>
      <c r="F67" s="19">
        <f t="shared" si="5"/>
        <v>0.45454545454545453</v>
      </c>
      <c r="G67" s="19">
        <f t="shared" si="6"/>
        <v>0.54545454545454541</v>
      </c>
      <c r="H67" s="8" t="s">
        <v>18</v>
      </c>
      <c r="I67" s="9" t="s">
        <v>14</v>
      </c>
      <c r="J67" s="15">
        <v>0.47060000000000002</v>
      </c>
      <c r="K67" s="15">
        <v>54.514099999999999</v>
      </c>
      <c r="L67" s="15">
        <v>67.713200000000001</v>
      </c>
      <c r="M67" s="34">
        <v>2.19</v>
      </c>
      <c r="N67" s="15">
        <v>195.96369999999999</v>
      </c>
      <c r="O67" s="15">
        <v>0.41520000000000001</v>
      </c>
      <c r="P67" s="48">
        <f t="shared" si="4"/>
        <v>46.001763734188295</v>
      </c>
      <c r="Q67" s="9" t="s">
        <v>9</v>
      </c>
    </row>
    <row r="68" spans="1:17" ht="17" x14ac:dyDescent="0.2">
      <c r="A68" s="7" t="s">
        <v>38</v>
      </c>
      <c r="B68" s="8" t="s">
        <v>19</v>
      </c>
      <c r="C68" s="8">
        <v>33</v>
      </c>
      <c r="D68" s="8" t="s">
        <v>27</v>
      </c>
      <c r="E68" s="8">
        <v>18</v>
      </c>
      <c r="F68" s="19">
        <f t="shared" si="5"/>
        <v>0.45454545454545453</v>
      </c>
      <c r="G68" s="19">
        <f t="shared" si="6"/>
        <v>0.54545454545454541</v>
      </c>
      <c r="H68" s="8" t="s">
        <v>18</v>
      </c>
      <c r="I68" s="9" t="s">
        <v>15</v>
      </c>
      <c r="J68" s="15">
        <v>0.49719999999999998</v>
      </c>
      <c r="K68" s="15">
        <v>54.289700000000003</v>
      </c>
      <c r="L68" s="15">
        <v>65.991900000000001</v>
      </c>
      <c r="M68" s="34">
        <v>2.17</v>
      </c>
      <c r="N68" s="15">
        <v>157.01390000000001</v>
      </c>
      <c r="O68" s="15">
        <v>8.9800000000000005E-2</v>
      </c>
      <c r="P68" s="48">
        <f t="shared" si="4"/>
        <v>48.269415689969634</v>
      </c>
      <c r="Q68" s="9" t="s">
        <v>9</v>
      </c>
    </row>
    <row r="69" spans="1:17" ht="17" x14ac:dyDescent="0.2">
      <c r="A69" s="7" t="s">
        <v>39</v>
      </c>
      <c r="B69" s="8" t="s">
        <v>19</v>
      </c>
      <c r="C69" s="8">
        <v>33</v>
      </c>
      <c r="D69" s="8" t="s">
        <v>27</v>
      </c>
      <c r="E69" s="8">
        <v>18</v>
      </c>
      <c r="F69" s="19">
        <f t="shared" si="5"/>
        <v>0.45454545454545453</v>
      </c>
      <c r="G69" s="19">
        <f t="shared" si="6"/>
        <v>0.54545454545454541</v>
      </c>
      <c r="H69" s="8" t="s">
        <v>18</v>
      </c>
      <c r="I69" s="9" t="s">
        <v>16</v>
      </c>
      <c r="J69" s="33">
        <v>0.45500000000000002</v>
      </c>
      <c r="K69" s="15">
        <v>57.091700000000003</v>
      </c>
      <c r="L69" s="15">
        <v>68.705299999999994</v>
      </c>
      <c r="M69" s="34">
        <v>2.2799999999999998</v>
      </c>
      <c r="N69" s="15">
        <v>148.09020000000001</v>
      </c>
      <c r="O69" s="15">
        <v>1.3046</v>
      </c>
      <c r="P69" s="48">
        <f t="shared" si="4"/>
        <v>44.038261306196894</v>
      </c>
      <c r="Q69" s="9" t="s">
        <v>9</v>
      </c>
    </row>
    <row r="70" spans="1:17" ht="17" x14ac:dyDescent="0.2">
      <c r="A70" s="11" t="s">
        <v>31</v>
      </c>
      <c r="B70" s="11" t="s">
        <v>20</v>
      </c>
      <c r="C70" s="11">
        <v>11</v>
      </c>
      <c r="D70" s="12" t="s">
        <v>28</v>
      </c>
      <c r="E70" s="11">
        <v>4</v>
      </c>
      <c r="F70" s="22">
        <f t="shared" si="5"/>
        <v>0.63636363636363635</v>
      </c>
      <c r="G70" s="22">
        <f t="shared" si="6"/>
        <v>0.36363636363636365</v>
      </c>
      <c r="H70" s="12" t="s">
        <v>18</v>
      </c>
      <c r="I70" s="13" t="s">
        <v>3</v>
      </c>
      <c r="J70" s="16">
        <v>0.47170000000000001</v>
      </c>
      <c r="K70" s="16">
        <v>63.403399999999998</v>
      </c>
      <c r="L70" s="16">
        <v>78.374899999999997</v>
      </c>
      <c r="M70" s="36">
        <v>2.56</v>
      </c>
      <c r="N70" s="16">
        <v>189.91550000000001</v>
      </c>
      <c r="O70" s="16">
        <v>1.5054000000000001</v>
      </c>
      <c r="P70" s="68">
        <f t="shared" si="4"/>
        <v>46.260049244977068</v>
      </c>
      <c r="Q70" s="13"/>
    </row>
    <row r="71" spans="1:17" ht="17" x14ac:dyDescent="0.2">
      <c r="A71" s="11" t="s">
        <v>32</v>
      </c>
      <c r="B71" s="11" t="s">
        <v>20</v>
      </c>
      <c r="C71" s="11">
        <v>11</v>
      </c>
      <c r="D71" s="12" t="s">
        <v>28</v>
      </c>
      <c r="E71" s="11">
        <v>4</v>
      </c>
      <c r="F71" s="22">
        <f t="shared" si="5"/>
        <v>0.63636363636363635</v>
      </c>
      <c r="G71" s="22">
        <f t="shared" si="6"/>
        <v>0.36363636363636365</v>
      </c>
      <c r="H71" s="12" t="s">
        <v>18</v>
      </c>
      <c r="I71" s="13" t="s">
        <v>5</v>
      </c>
      <c r="J71" s="14">
        <v>0.46460000000000001</v>
      </c>
      <c r="K71" s="14">
        <v>62.8018</v>
      </c>
      <c r="L71" s="14">
        <v>78.897900000000007</v>
      </c>
      <c r="M71" s="35">
        <v>2.54</v>
      </c>
      <c r="N71" s="14">
        <v>194.27119999999999</v>
      </c>
      <c r="O71" s="14">
        <v>7.7999999999999996E-3</v>
      </c>
      <c r="P71" s="69">
        <f t="shared" ref="P71:P87" si="7">+(((0.2*J71*100)-(0.04*($K$3-K71)/($K$3-$K$4))-(0.1*($L$3-L71)/($L$3-$L$4))-(0.15*($M$3-M71)/($M$3-$M$4))-(0.5*($N$3-N71)/($N$3-$N$4))-(0.01*($O$3-O71)/($O$3-$O$4)))/20)*100</f>
        <v>45.562627387170835</v>
      </c>
      <c r="Q71" s="13" t="s">
        <v>6</v>
      </c>
    </row>
    <row r="72" spans="1:17" ht="17" x14ac:dyDescent="0.2">
      <c r="A72" s="11" t="s">
        <v>33</v>
      </c>
      <c r="B72" s="11" t="s">
        <v>20</v>
      </c>
      <c r="C72" s="11">
        <v>11</v>
      </c>
      <c r="D72" s="12" t="s">
        <v>28</v>
      </c>
      <c r="E72" s="11">
        <v>4</v>
      </c>
      <c r="F72" s="22">
        <f t="shared" si="5"/>
        <v>0.63636363636363635</v>
      </c>
      <c r="G72" s="22">
        <f t="shared" si="6"/>
        <v>0.36363636363636365</v>
      </c>
      <c r="H72" s="12" t="s">
        <v>18</v>
      </c>
      <c r="I72" s="13" t="s">
        <v>7</v>
      </c>
      <c r="J72" s="14">
        <v>0.46760000000000002</v>
      </c>
      <c r="K72" s="14">
        <v>62.746899999999997</v>
      </c>
      <c r="L72" s="14">
        <v>78.679400000000001</v>
      </c>
      <c r="M72" s="35">
        <v>2.54</v>
      </c>
      <c r="N72" s="14">
        <v>193.54640000000001</v>
      </c>
      <c r="O72" s="14">
        <v>0.27629999999999999</v>
      </c>
      <c r="P72" s="69">
        <f t="shared" si="7"/>
        <v>45.858740146258654</v>
      </c>
      <c r="Q72" s="13"/>
    </row>
    <row r="73" spans="1:17" ht="17" x14ac:dyDescent="0.2">
      <c r="A73" s="11" t="s">
        <v>34</v>
      </c>
      <c r="B73" s="11" t="s">
        <v>20</v>
      </c>
      <c r="C73" s="11">
        <v>11</v>
      </c>
      <c r="D73" s="12" t="s">
        <v>28</v>
      </c>
      <c r="E73" s="11">
        <v>4</v>
      </c>
      <c r="F73" s="22">
        <f t="shared" si="5"/>
        <v>0.63636363636363635</v>
      </c>
      <c r="G73" s="22">
        <f t="shared" si="6"/>
        <v>0.36363636363636365</v>
      </c>
      <c r="H73" s="12" t="s">
        <v>18</v>
      </c>
      <c r="I73" s="13" t="s">
        <v>8</v>
      </c>
      <c r="J73" s="14">
        <v>0.46329999999999999</v>
      </c>
      <c r="K73" s="14">
        <v>67.912099999999995</v>
      </c>
      <c r="L73" s="39">
        <v>83.337999999999994</v>
      </c>
      <c r="M73" s="35">
        <v>2.76</v>
      </c>
      <c r="N73" s="39">
        <v>191.23099999999999</v>
      </c>
      <c r="O73" s="14">
        <v>5.0500000000000003E-2</v>
      </c>
      <c r="P73" s="69">
        <f t="shared" si="7"/>
        <v>45.50412481541435</v>
      </c>
      <c r="Q73" s="13" t="s">
        <v>9</v>
      </c>
    </row>
    <row r="74" spans="1:17" ht="17" x14ac:dyDescent="0.2">
      <c r="A74" s="11" t="s">
        <v>35</v>
      </c>
      <c r="B74" s="11" t="s">
        <v>20</v>
      </c>
      <c r="C74" s="11">
        <v>11</v>
      </c>
      <c r="D74" s="12" t="s">
        <v>28</v>
      </c>
      <c r="E74" s="11">
        <v>4</v>
      </c>
      <c r="F74" s="22">
        <f t="shared" si="5"/>
        <v>0.63636363636363635</v>
      </c>
      <c r="G74" s="22">
        <f t="shared" si="6"/>
        <v>0.36363636363636365</v>
      </c>
      <c r="H74" s="12" t="s">
        <v>18</v>
      </c>
      <c r="I74" s="13" t="s">
        <v>11</v>
      </c>
      <c r="J74" s="14">
        <v>0.42920000000000003</v>
      </c>
      <c r="K74" s="39">
        <v>59.468000000000004</v>
      </c>
      <c r="L74" s="14">
        <v>76.543199999999999</v>
      </c>
      <c r="M74" s="35">
        <v>2.38</v>
      </c>
      <c r="N74" s="14">
        <v>211.6301</v>
      </c>
      <c r="O74" s="14">
        <v>0.4098</v>
      </c>
      <c r="P74" s="69">
        <f t="shared" si="7"/>
        <v>42.128329456589711</v>
      </c>
      <c r="Q74" s="13" t="s">
        <v>10</v>
      </c>
    </row>
    <row r="75" spans="1:17" ht="17" x14ac:dyDescent="0.2">
      <c r="A75" s="11" t="s">
        <v>36</v>
      </c>
      <c r="B75" s="11" t="s">
        <v>20</v>
      </c>
      <c r="C75" s="11">
        <v>11</v>
      </c>
      <c r="D75" s="12" t="s">
        <v>28</v>
      </c>
      <c r="E75" s="11">
        <v>4</v>
      </c>
      <c r="F75" s="22">
        <f t="shared" si="5"/>
        <v>0.63636363636363635</v>
      </c>
      <c r="G75" s="22">
        <f t="shared" si="6"/>
        <v>0.36363636363636365</v>
      </c>
      <c r="H75" s="12" t="s">
        <v>18</v>
      </c>
      <c r="I75" s="13" t="s">
        <v>12</v>
      </c>
      <c r="J75" s="14">
        <v>0.41060000000000002</v>
      </c>
      <c r="K75" s="14">
        <v>61.648200000000003</v>
      </c>
      <c r="L75" s="14">
        <v>78.747699999999995</v>
      </c>
      <c r="M75" s="35">
        <v>2.4900000000000002</v>
      </c>
      <c r="N75" s="14">
        <v>238.18209999999999</v>
      </c>
      <c r="O75" s="14">
        <v>0.79259999999999997</v>
      </c>
      <c r="P75" s="69">
        <f t="shared" si="7"/>
        <v>40.576079674254892</v>
      </c>
      <c r="Q75" s="13" t="s">
        <v>9</v>
      </c>
    </row>
    <row r="76" spans="1:17" ht="17" x14ac:dyDescent="0.2">
      <c r="A76" s="11" t="s">
        <v>37</v>
      </c>
      <c r="B76" s="11" t="s">
        <v>20</v>
      </c>
      <c r="C76" s="11">
        <v>11</v>
      </c>
      <c r="D76" s="12" t="s">
        <v>28</v>
      </c>
      <c r="E76" s="11">
        <v>4</v>
      </c>
      <c r="F76" s="22">
        <f t="shared" si="5"/>
        <v>0.63636363636363635</v>
      </c>
      <c r="G76" s="22">
        <f t="shared" si="6"/>
        <v>0.36363636363636365</v>
      </c>
      <c r="H76" s="12" t="s">
        <v>18</v>
      </c>
      <c r="I76" s="13" t="s">
        <v>14</v>
      </c>
      <c r="J76" s="14">
        <v>0.43390000000000001</v>
      </c>
      <c r="K76" s="14">
        <v>59.055399999999999</v>
      </c>
      <c r="L76" s="14">
        <v>77.173199999999994</v>
      </c>
      <c r="M76" s="35">
        <v>2.39</v>
      </c>
      <c r="N76" s="14">
        <v>241.81620000000001</v>
      </c>
      <c r="O76" s="14">
        <v>0.18809999999999999</v>
      </c>
      <c r="P76" s="69">
        <f t="shared" si="7"/>
        <v>42.887144779827551</v>
      </c>
      <c r="Q76" s="13" t="s">
        <v>9</v>
      </c>
    </row>
    <row r="77" spans="1:17" ht="17" x14ac:dyDescent="0.2">
      <c r="A77" s="11" t="s">
        <v>38</v>
      </c>
      <c r="B77" s="11" t="s">
        <v>20</v>
      </c>
      <c r="C77" s="11">
        <v>11</v>
      </c>
      <c r="D77" s="12" t="s">
        <v>28</v>
      </c>
      <c r="E77" s="11">
        <v>4</v>
      </c>
      <c r="F77" s="22">
        <f t="shared" si="5"/>
        <v>0.63636363636363635</v>
      </c>
      <c r="G77" s="22">
        <f t="shared" si="6"/>
        <v>0.36363636363636365</v>
      </c>
      <c r="H77" s="12" t="s">
        <v>18</v>
      </c>
      <c r="I77" s="13" t="s">
        <v>15</v>
      </c>
      <c r="J77" s="14">
        <v>0.4269</v>
      </c>
      <c r="K77" s="14">
        <v>61.3767</v>
      </c>
      <c r="L77" s="14">
        <v>77.654300000000006</v>
      </c>
      <c r="M77" s="35">
        <v>2.4900000000000002</v>
      </c>
      <c r="N77" s="14">
        <v>243.37209999999999</v>
      </c>
      <c r="O77" s="14">
        <v>6.9500000000000006E-2</v>
      </c>
      <c r="P77" s="69">
        <f t="shared" si="7"/>
        <v>42.236094613473739</v>
      </c>
      <c r="Q77" s="13" t="s">
        <v>9</v>
      </c>
    </row>
    <row r="78" spans="1:17" ht="17" x14ac:dyDescent="0.2">
      <c r="A78" s="11" t="s">
        <v>39</v>
      </c>
      <c r="B78" s="11" t="s">
        <v>20</v>
      </c>
      <c r="C78" s="11">
        <v>11</v>
      </c>
      <c r="D78" s="12" t="s">
        <v>28</v>
      </c>
      <c r="E78" s="11">
        <v>4</v>
      </c>
      <c r="F78" s="22">
        <f t="shared" si="5"/>
        <v>0.63636363636363635</v>
      </c>
      <c r="G78" s="22">
        <f t="shared" si="6"/>
        <v>0.36363636363636365</v>
      </c>
      <c r="H78" s="12" t="s">
        <v>18</v>
      </c>
      <c r="I78" s="13" t="s">
        <v>16</v>
      </c>
      <c r="J78" s="14">
        <v>0.44469999999999998</v>
      </c>
      <c r="K78" s="14">
        <v>61.512500000000003</v>
      </c>
      <c r="L78" s="14">
        <v>76.437700000000007</v>
      </c>
      <c r="M78" s="35">
        <v>2.48</v>
      </c>
      <c r="N78" s="14">
        <v>215.48670000000001</v>
      </c>
      <c r="O78" s="14">
        <v>1.7332000000000001</v>
      </c>
      <c r="P78" s="69">
        <f t="shared" si="7"/>
        <v>43.7689046868812</v>
      </c>
      <c r="Q78" s="13" t="s">
        <v>9</v>
      </c>
    </row>
    <row r="79" spans="1:17" ht="17" x14ac:dyDescent="0.2">
      <c r="A79" s="7" t="s">
        <v>31</v>
      </c>
      <c r="B79" s="7" t="s">
        <v>24</v>
      </c>
      <c r="C79" s="7">
        <v>44</v>
      </c>
      <c r="D79" s="8" t="s">
        <v>27</v>
      </c>
      <c r="E79" s="7">
        <v>23</v>
      </c>
      <c r="F79" s="26">
        <f t="shared" si="5"/>
        <v>0.47727272727272729</v>
      </c>
      <c r="G79" s="26">
        <f t="shared" si="6"/>
        <v>0.52272727272727271</v>
      </c>
      <c r="H79" s="8" t="s">
        <v>18</v>
      </c>
      <c r="I79" s="9" t="s">
        <v>3</v>
      </c>
      <c r="J79" s="15">
        <v>0.50960000000000005</v>
      </c>
      <c r="K79" s="15">
        <v>60.975900000000003</v>
      </c>
      <c r="L79" s="15">
        <v>75.514200000000002</v>
      </c>
      <c r="M79" s="34">
        <v>2.4700000000000002</v>
      </c>
      <c r="N79" s="15">
        <v>221.5745</v>
      </c>
      <c r="O79" s="15">
        <v>0.30220000000000002</v>
      </c>
      <c r="P79" s="48">
        <f t="shared" si="7"/>
        <v>50.283262898254598</v>
      </c>
      <c r="Q79" s="9"/>
    </row>
    <row r="80" spans="1:17" ht="17" x14ac:dyDescent="0.2">
      <c r="A80" s="7" t="s">
        <v>32</v>
      </c>
      <c r="B80" s="7" t="s">
        <v>24</v>
      </c>
      <c r="C80" s="7">
        <v>44</v>
      </c>
      <c r="D80" s="8" t="s">
        <v>27</v>
      </c>
      <c r="E80" s="7">
        <v>23</v>
      </c>
      <c r="F80" s="26">
        <f t="shared" si="5"/>
        <v>0.47727272727272729</v>
      </c>
      <c r="G80" s="26">
        <f t="shared" si="6"/>
        <v>0.52272727272727271</v>
      </c>
      <c r="H80" s="8" t="s">
        <v>18</v>
      </c>
      <c r="I80" s="9" t="s">
        <v>5</v>
      </c>
      <c r="J80" s="15">
        <v>0.51049999999999995</v>
      </c>
      <c r="K80" s="15">
        <v>60.1875</v>
      </c>
      <c r="L80" s="15">
        <v>75.445899999999995</v>
      </c>
      <c r="M80" s="34">
        <v>2.44</v>
      </c>
      <c r="N80" s="33">
        <v>266.5806</v>
      </c>
      <c r="O80" s="15">
        <v>0.21210000000000001</v>
      </c>
      <c r="P80" s="48">
        <f t="shared" si="7"/>
        <v>50.789409591790523</v>
      </c>
      <c r="Q80" s="9" t="s">
        <v>6</v>
      </c>
    </row>
    <row r="81" spans="1:17" ht="17" x14ac:dyDescent="0.2">
      <c r="A81" s="7" t="s">
        <v>33</v>
      </c>
      <c r="B81" s="7" t="s">
        <v>24</v>
      </c>
      <c r="C81" s="7">
        <v>44</v>
      </c>
      <c r="D81" s="8" t="s">
        <v>27</v>
      </c>
      <c r="E81" s="7">
        <v>23</v>
      </c>
      <c r="F81" s="26">
        <f t="shared" si="5"/>
        <v>0.47727272727272729</v>
      </c>
      <c r="G81" s="26">
        <f t="shared" si="6"/>
        <v>0.52272727272727271</v>
      </c>
      <c r="H81" s="8" t="s">
        <v>18</v>
      </c>
      <c r="I81" s="9" t="s">
        <v>7</v>
      </c>
      <c r="J81" s="15">
        <v>0.53149999999999997</v>
      </c>
      <c r="K81" s="15">
        <v>59.159799999999997</v>
      </c>
      <c r="L81" s="15">
        <v>73.805099999999996</v>
      </c>
      <c r="M81" s="47">
        <v>2.4</v>
      </c>
      <c r="N81" s="15">
        <v>232.9522</v>
      </c>
      <c r="O81" s="15">
        <v>0.11890000000000001</v>
      </c>
      <c r="P81" s="48">
        <f t="shared" si="7"/>
        <v>52.544435338248128</v>
      </c>
      <c r="Q81" s="9"/>
    </row>
    <row r="82" spans="1:17" ht="17" x14ac:dyDescent="0.2">
      <c r="A82" s="7" t="s">
        <v>34</v>
      </c>
      <c r="B82" s="7" t="s">
        <v>24</v>
      </c>
      <c r="C82" s="7">
        <v>44</v>
      </c>
      <c r="D82" s="8" t="s">
        <v>27</v>
      </c>
      <c r="E82" s="7">
        <v>23</v>
      </c>
      <c r="F82" s="26">
        <f t="shared" si="5"/>
        <v>0.47727272727272729</v>
      </c>
      <c r="G82" s="26">
        <f t="shared" si="6"/>
        <v>0.52272727272727271</v>
      </c>
      <c r="H82" s="8" t="s">
        <v>18</v>
      </c>
      <c r="I82" s="9" t="s">
        <v>8</v>
      </c>
      <c r="J82" s="15">
        <v>0.56059999999999999</v>
      </c>
      <c r="K82" s="15">
        <v>58.058999999999997</v>
      </c>
      <c r="L82" s="15">
        <v>75.404799999999994</v>
      </c>
      <c r="M82" s="34">
        <v>2.36</v>
      </c>
      <c r="N82" s="15">
        <v>252.4444</v>
      </c>
      <c r="O82" s="15">
        <v>0.94540000000000002</v>
      </c>
      <c r="P82" s="48">
        <f t="shared" si="7"/>
        <v>55.649492091802259</v>
      </c>
      <c r="Q82" s="9" t="s">
        <v>9</v>
      </c>
    </row>
    <row r="83" spans="1:17" ht="17" x14ac:dyDescent="0.2">
      <c r="A83" s="7" t="s">
        <v>35</v>
      </c>
      <c r="B83" s="7" t="s">
        <v>24</v>
      </c>
      <c r="C83" s="7">
        <v>44</v>
      </c>
      <c r="D83" s="8" t="s">
        <v>27</v>
      </c>
      <c r="E83" s="7">
        <v>23</v>
      </c>
      <c r="F83" s="26">
        <f t="shared" si="5"/>
        <v>0.47727272727272729</v>
      </c>
      <c r="G83" s="26">
        <f t="shared" si="6"/>
        <v>0.52272727272727271</v>
      </c>
      <c r="H83" s="8" t="s">
        <v>18</v>
      </c>
      <c r="I83" s="9" t="s">
        <v>11</v>
      </c>
      <c r="J83" s="15">
        <v>0.53249999999999997</v>
      </c>
      <c r="K83" s="15">
        <v>54.039700000000003</v>
      </c>
      <c r="L83" s="15">
        <v>70.832300000000004</v>
      </c>
      <c r="M83" s="34">
        <v>2.17</v>
      </c>
      <c r="N83" s="15">
        <v>197.17320000000001</v>
      </c>
      <c r="O83" s="15">
        <v>0.63319999999999999</v>
      </c>
      <c r="P83" s="48">
        <f t="shared" si="7"/>
        <v>52.218901413010798</v>
      </c>
      <c r="Q83" s="9" t="s">
        <v>10</v>
      </c>
    </row>
    <row r="84" spans="1:17" ht="17" x14ac:dyDescent="0.2">
      <c r="A84" s="7" t="s">
        <v>36</v>
      </c>
      <c r="B84" s="7" t="s">
        <v>24</v>
      </c>
      <c r="C84" s="7">
        <v>44</v>
      </c>
      <c r="D84" s="8" t="s">
        <v>27</v>
      </c>
      <c r="E84" s="7">
        <v>23</v>
      </c>
      <c r="F84" s="26">
        <f t="shared" si="5"/>
        <v>0.47727272727272729</v>
      </c>
      <c r="G84" s="26">
        <f t="shared" si="6"/>
        <v>0.52272727272727271</v>
      </c>
      <c r="H84" s="8" t="s">
        <v>18</v>
      </c>
      <c r="I84" s="9" t="s">
        <v>12</v>
      </c>
      <c r="J84" s="15">
        <v>0.55369999999999997</v>
      </c>
      <c r="K84" s="15">
        <v>54.415700000000001</v>
      </c>
      <c r="L84" s="15">
        <v>71.163600000000002</v>
      </c>
      <c r="M84" s="34">
        <v>2.21</v>
      </c>
      <c r="N84" s="15">
        <v>193.2663</v>
      </c>
      <c r="O84" s="33">
        <v>2.1779999999999999</v>
      </c>
      <c r="P84" s="48">
        <f t="shared" si="7"/>
        <v>54.341168214076532</v>
      </c>
      <c r="Q84" s="9" t="s">
        <v>9</v>
      </c>
    </row>
    <row r="85" spans="1:17" ht="17" x14ac:dyDescent="0.2">
      <c r="A85" s="7" t="s">
        <v>37</v>
      </c>
      <c r="B85" s="7" t="s">
        <v>24</v>
      </c>
      <c r="C85" s="7">
        <v>44</v>
      </c>
      <c r="D85" s="8" t="s">
        <v>27</v>
      </c>
      <c r="E85" s="7">
        <v>23</v>
      </c>
      <c r="F85" s="26">
        <f t="shared" si="5"/>
        <v>0.47727272727272729</v>
      </c>
      <c r="G85" s="26">
        <f t="shared" si="6"/>
        <v>0.52272727272727271</v>
      </c>
      <c r="H85" s="8" t="s">
        <v>18</v>
      </c>
      <c r="I85" s="9" t="s">
        <v>14</v>
      </c>
      <c r="J85" s="15">
        <v>0.58950000000000002</v>
      </c>
      <c r="K85" s="15">
        <v>48.278199999999998</v>
      </c>
      <c r="L85" s="15">
        <v>68.248500000000007</v>
      </c>
      <c r="M85" s="34">
        <v>1.97</v>
      </c>
      <c r="N85" s="15">
        <v>197.27860000000001</v>
      </c>
      <c r="O85" s="33">
        <v>0.317</v>
      </c>
      <c r="P85" s="48">
        <f t="shared" si="7"/>
        <v>57.829483936002546</v>
      </c>
      <c r="Q85" s="9" t="s">
        <v>9</v>
      </c>
    </row>
    <row r="86" spans="1:17" ht="17" x14ac:dyDescent="0.2">
      <c r="A86" s="7" t="s">
        <v>38</v>
      </c>
      <c r="B86" s="7" t="s">
        <v>24</v>
      </c>
      <c r="C86" s="7">
        <v>44</v>
      </c>
      <c r="D86" s="8" t="s">
        <v>27</v>
      </c>
      <c r="E86" s="7">
        <v>23</v>
      </c>
      <c r="F86" s="26">
        <f t="shared" si="5"/>
        <v>0.47727272727272729</v>
      </c>
      <c r="G86" s="26">
        <f t="shared" si="6"/>
        <v>0.52272727272727271</v>
      </c>
      <c r="H86" s="8" t="s">
        <v>18</v>
      </c>
      <c r="I86" s="9" t="s">
        <v>15</v>
      </c>
      <c r="J86" s="16">
        <v>0.60019999999999996</v>
      </c>
      <c r="K86" s="16">
        <v>48.2166</v>
      </c>
      <c r="L86" s="16">
        <v>67.354799999999997</v>
      </c>
      <c r="M86" s="36">
        <v>1.97</v>
      </c>
      <c r="N86" s="16">
        <v>194.95570000000001</v>
      </c>
      <c r="O86" s="16">
        <v>0.11840000000000001</v>
      </c>
      <c r="P86" s="68">
        <f t="shared" si="7"/>
        <v>58.868542153720213</v>
      </c>
      <c r="Q86" s="9" t="s">
        <v>9</v>
      </c>
    </row>
    <row r="87" spans="1:17" ht="17" x14ac:dyDescent="0.2">
      <c r="A87" s="7" t="s">
        <v>39</v>
      </c>
      <c r="B87" s="7" t="s">
        <v>24</v>
      </c>
      <c r="C87" s="7">
        <v>44</v>
      </c>
      <c r="D87" s="8" t="s">
        <v>27</v>
      </c>
      <c r="E87" s="7">
        <v>23</v>
      </c>
      <c r="F87" s="26">
        <f t="shared" si="5"/>
        <v>0.47727272727272729</v>
      </c>
      <c r="G87" s="26">
        <f t="shared" si="6"/>
        <v>0.52272727272727271</v>
      </c>
      <c r="H87" s="8" t="s">
        <v>18</v>
      </c>
      <c r="I87" s="9" t="s">
        <v>16</v>
      </c>
      <c r="J87" s="15">
        <v>0.54430000000000001</v>
      </c>
      <c r="K87" s="15">
        <v>55.587499999999999</v>
      </c>
      <c r="L87" s="33">
        <v>71.906999999999996</v>
      </c>
      <c r="M87" s="34">
        <v>2.25</v>
      </c>
      <c r="N87" s="15">
        <v>179.13480000000001</v>
      </c>
      <c r="O87" s="15">
        <v>3.0032000000000001</v>
      </c>
      <c r="P87" s="48">
        <f t="shared" si="7"/>
        <v>53.298885021643706</v>
      </c>
      <c r="Q87" s="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56BA-07E6-C04D-811F-E5002D211A41}">
  <dimension ref="A1:Q87"/>
  <sheetViews>
    <sheetView tabSelected="1" zoomScale="150" zoomScaleNormal="150" workbookViewId="0">
      <pane xSplit="6" ySplit="5" topLeftCell="M59" activePane="bottomRight" state="frozen"/>
      <selection pane="topRight" activeCell="G1" sqref="G1"/>
      <selection pane="bottomLeft" activeCell="A5" sqref="A5"/>
      <selection pane="bottomRight" activeCell="E65" sqref="E65"/>
    </sheetView>
  </sheetViews>
  <sheetFormatPr baseColWidth="10" defaultRowHeight="16" x14ac:dyDescent="0.2"/>
  <cols>
    <col min="1" max="1" width="4.33203125" style="1" customWidth="1"/>
    <col min="2" max="2" width="13.5" style="1" bestFit="1" customWidth="1"/>
    <col min="3" max="3" width="8.6640625" style="1" bestFit="1" customWidth="1"/>
    <col min="4" max="4" width="13" style="4" bestFit="1" customWidth="1"/>
    <col min="5" max="5" width="9.5" style="1" bestFit="1" customWidth="1"/>
    <col min="6" max="6" width="11.1640625" style="18" bestFit="1" customWidth="1"/>
    <col min="7" max="7" width="11.1640625" style="23" bestFit="1" customWidth="1"/>
    <col min="8" max="8" width="11.5" style="4" bestFit="1" customWidth="1"/>
    <col min="9" max="9" width="50.83203125" style="2" bestFit="1" customWidth="1"/>
    <col min="10" max="13" width="10.83203125" style="3"/>
    <col min="14" max="15" width="13.33203125" style="3" bestFit="1" customWidth="1"/>
    <col min="16" max="16" width="12" style="40" bestFit="1" customWidth="1"/>
    <col min="17" max="17" width="49.83203125" style="2" bestFit="1" customWidth="1"/>
    <col min="18" max="16384" width="10.83203125" style="1"/>
  </cols>
  <sheetData>
    <row r="1" spans="1:17" x14ac:dyDescent="0.2">
      <c r="J1" s="32"/>
    </row>
    <row r="2" spans="1:17" x14ac:dyDescent="0.2">
      <c r="P2" s="1"/>
    </row>
    <row r="3" spans="1:17" x14ac:dyDescent="0.2">
      <c r="J3" s="3" t="s">
        <v>40</v>
      </c>
      <c r="K3" s="3">
        <f>MAX(K33:K87)</f>
        <v>2.1747999999999998</v>
      </c>
      <c r="L3" s="3">
        <f>MAX(L33:L87)</f>
        <v>2.8785769999999999</v>
      </c>
      <c r="M3" s="3">
        <f>MAX(M33:M87)</f>
        <v>2.54</v>
      </c>
      <c r="N3" s="3">
        <f>MAX(N33:N87)</f>
        <v>13.320399999999999</v>
      </c>
      <c r="O3" s="3">
        <f>MAX(O33:O87)</f>
        <v>2.7139000000000002</v>
      </c>
      <c r="P3" s="1"/>
    </row>
    <row r="4" spans="1:17" x14ac:dyDescent="0.2">
      <c r="J4" s="3" t="s">
        <v>41</v>
      </c>
      <c r="K4" s="3">
        <f>MIN(K33:K87)</f>
        <v>0.2266</v>
      </c>
      <c r="L4" s="3">
        <f>MIN(L33:L87)</f>
        <v>0.29270000000000002</v>
      </c>
      <c r="M4" s="3">
        <f>MIN(M33:M87)</f>
        <v>0.27</v>
      </c>
      <c r="N4" s="3">
        <f>MIN(N33:N87)</f>
        <v>0.87560000000000004</v>
      </c>
      <c r="O4" s="3">
        <v>0</v>
      </c>
      <c r="P4" s="1"/>
    </row>
    <row r="5" spans="1:17" ht="51" x14ac:dyDescent="0.2">
      <c r="A5" s="5" t="s">
        <v>0</v>
      </c>
      <c r="B5" s="5" t="s">
        <v>13</v>
      </c>
      <c r="C5" s="6" t="s">
        <v>57</v>
      </c>
      <c r="D5" s="6" t="s">
        <v>56</v>
      </c>
      <c r="E5" s="6" t="s">
        <v>25</v>
      </c>
      <c r="F5" s="20" t="s">
        <v>58</v>
      </c>
      <c r="G5" s="21" t="s">
        <v>59</v>
      </c>
      <c r="H5" s="6" t="s">
        <v>60</v>
      </c>
      <c r="I5" s="5" t="s">
        <v>61</v>
      </c>
      <c r="J5" s="70" t="s">
        <v>44</v>
      </c>
      <c r="K5" s="70" t="s">
        <v>47</v>
      </c>
      <c r="L5" s="70" t="s">
        <v>46</v>
      </c>
      <c r="M5" s="70" t="s">
        <v>45</v>
      </c>
      <c r="N5" s="70" t="s">
        <v>43</v>
      </c>
      <c r="O5" s="70" t="s">
        <v>42</v>
      </c>
      <c r="P5" s="41" t="s">
        <v>62</v>
      </c>
      <c r="Q5" s="5" t="s">
        <v>63</v>
      </c>
    </row>
    <row r="6" spans="1:17" ht="17" x14ac:dyDescent="0.2">
      <c r="A6" s="7" t="s">
        <v>31</v>
      </c>
      <c r="B6" s="7" t="s">
        <v>50</v>
      </c>
      <c r="C6" s="7">
        <v>33</v>
      </c>
      <c r="D6" s="8" t="s">
        <v>29</v>
      </c>
      <c r="E6" s="7">
        <v>33</v>
      </c>
      <c r="F6" s="19">
        <f t="shared" ref="F6:F15" si="0">+((C6-E6)/C6)</f>
        <v>0</v>
      </c>
      <c r="G6" s="19">
        <f>100%-F6</f>
        <v>1</v>
      </c>
      <c r="H6" s="8" t="s">
        <v>17</v>
      </c>
      <c r="I6" s="9" t="s">
        <v>3</v>
      </c>
      <c r="J6" s="15">
        <v>0.97770000000000001</v>
      </c>
      <c r="K6" s="15">
        <v>0.42920000000000003</v>
      </c>
      <c r="L6" s="15">
        <v>0.6079</v>
      </c>
      <c r="M6" s="47">
        <v>0.5</v>
      </c>
      <c r="N6" s="15">
        <v>2.5095999999999998</v>
      </c>
      <c r="O6" s="15">
        <v>2.0999999999999999E-3</v>
      </c>
      <c r="P6" s="42">
        <f>+(((0.2*J6*100)-(0.04*($K$3-K6)/($K$3-$K$4))-(0.1*($L$3-L6)/($L$3-$L$4))-(0.15*($M$3-M6)/($M$3-$M$4))-(0.5*($N$3-N6)/($N$3-$N$4))-(0.01*($O$3-O6)/($O$3-$O$4)))/20)*100</f>
        <v>94.256024556109907</v>
      </c>
      <c r="Q6" s="9"/>
    </row>
    <row r="7" spans="1:17" ht="17" x14ac:dyDescent="0.2">
      <c r="A7" s="7" t="s">
        <v>32</v>
      </c>
      <c r="B7" s="7" t="s">
        <v>50</v>
      </c>
      <c r="C7" s="7">
        <v>33</v>
      </c>
      <c r="D7" s="8" t="s">
        <v>29</v>
      </c>
      <c r="E7" s="7">
        <v>33</v>
      </c>
      <c r="F7" s="19">
        <f t="shared" si="0"/>
        <v>0</v>
      </c>
      <c r="G7" s="19">
        <f>100%-F7</f>
        <v>1</v>
      </c>
      <c r="H7" s="8" t="s">
        <v>17</v>
      </c>
      <c r="I7" s="9" t="s">
        <v>5</v>
      </c>
      <c r="J7" s="15">
        <v>0.97829999999999995</v>
      </c>
      <c r="K7" s="15">
        <v>0.44019999999999998</v>
      </c>
      <c r="L7" s="47">
        <v>0.6</v>
      </c>
      <c r="M7" s="34">
        <v>0.52</v>
      </c>
      <c r="N7" s="15">
        <v>2.4784999999999999</v>
      </c>
      <c r="O7" s="15">
        <v>1E-4</v>
      </c>
      <c r="P7" s="42">
        <f>+(((0.2*J7*100)-(0.04*($K$3-K7)/($K$3-$K$4))-(0.1*($L$3-L7)/($L$3-$L$4))-(0.15*($M$3-M7)/($M$3-$M$4))-(0.5*($N$3-N7)/($N$3-$N$4))-(0.01*($O$3-O7)/($O$3-$O$4)))/20)*100</f>
        <v>94.315949768254953</v>
      </c>
      <c r="Q7" s="9" t="s">
        <v>6</v>
      </c>
    </row>
    <row r="8" spans="1:17" ht="17" x14ac:dyDescent="0.2">
      <c r="A8" s="7" t="s">
        <v>33</v>
      </c>
      <c r="B8" s="7" t="s">
        <v>50</v>
      </c>
      <c r="C8" s="7">
        <v>33</v>
      </c>
      <c r="D8" s="8" t="s">
        <v>29</v>
      </c>
      <c r="E8" s="7">
        <v>33</v>
      </c>
      <c r="F8" s="19">
        <f t="shared" si="0"/>
        <v>0</v>
      </c>
      <c r="G8" s="19">
        <f>100%-F8</f>
        <v>1</v>
      </c>
      <c r="H8" s="8" t="s">
        <v>17</v>
      </c>
      <c r="I8" s="9" t="s">
        <v>7</v>
      </c>
      <c r="J8" s="34">
        <v>0.98</v>
      </c>
      <c r="K8" s="15">
        <v>0.4148</v>
      </c>
      <c r="L8" s="15">
        <v>0.57589999999999997</v>
      </c>
      <c r="M8" s="34">
        <v>0.48</v>
      </c>
      <c r="N8" s="15">
        <v>2.1057000000000001</v>
      </c>
      <c r="O8" s="15">
        <v>2.0000000000000001E-4</v>
      </c>
      <c r="P8" s="42">
        <f>+(((0.2*J8*100)-(0.04*($K$3-K8)/($K$3-$K$4))-(0.1*($L$3-L8)/($L$3-$L$4))-(0.15*($M$3-M8)/($M$3-$M$4))-(0.5*($N$3-N8)/($N$3-$N$4))-(0.01*($O$3-O8)/($O$3-$O$4)))/20)*100</f>
        <v>94.390577571268764</v>
      </c>
      <c r="Q8" s="9"/>
    </row>
    <row r="9" spans="1:17" ht="17" x14ac:dyDescent="0.2">
      <c r="A9" s="7" t="s">
        <v>34</v>
      </c>
      <c r="B9" s="7" t="s">
        <v>50</v>
      </c>
      <c r="C9" s="7">
        <v>33</v>
      </c>
      <c r="D9" s="8" t="s">
        <v>29</v>
      </c>
      <c r="E9" s="7">
        <v>33</v>
      </c>
      <c r="F9" s="19">
        <f t="shared" si="0"/>
        <v>0</v>
      </c>
      <c r="G9" s="19">
        <f>100%-F9</f>
        <v>1</v>
      </c>
      <c r="H9" s="8" t="s">
        <v>17</v>
      </c>
      <c r="I9" s="9" t="s">
        <v>8</v>
      </c>
      <c r="J9" s="25">
        <v>0.99760000000000004</v>
      </c>
      <c r="K9" s="25">
        <v>0.14269999999999999</v>
      </c>
      <c r="L9" s="25">
        <v>0.19939999999999999</v>
      </c>
      <c r="M9" s="37">
        <v>0.17</v>
      </c>
      <c r="N9" s="25">
        <v>0.76129999999999998</v>
      </c>
      <c r="O9" s="25">
        <v>1E-4</v>
      </c>
      <c r="P9" s="54">
        <f>+(((0.2*J9*100)-(0.04*($K$3-K9)/($K$3-$K$4))-(0.1*($L$3-L9)/($L$3-$L$4))-(0.15*($M$3-M9)/($M$3-$M$4))-(0.5*($N$3-N9)/($N$3-$N$4))-(0.01*($O$3-O9)/($O$3-$O$4)))/20)*100</f>
        <v>95.677347417298307</v>
      </c>
      <c r="Q9" s="9" t="s">
        <v>9</v>
      </c>
    </row>
    <row r="10" spans="1:17" ht="17" x14ac:dyDescent="0.2">
      <c r="A10" s="7" t="s">
        <v>35</v>
      </c>
      <c r="B10" s="7" t="s">
        <v>50</v>
      </c>
      <c r="C10" s="7">
        <v>33</v>
      </c>
      <c r="D10" s="8" t="s">
        <v>29</v>
      </c>
      <c r="E10" s="7">
        <v>33</v>
      </c>
      <c r="F10" s="19">
        <f t="shared" si="0"/>
        <v>0</v>
      </c>
      <c r="G10" s="19">
        <f>100%-F10</f>
        <v>1</v>
      </c>
      <c r="H10" s="8" t="s">
        <v>17</v>
      </c>
      <c r="I10" s="9" t="s">
        <v>11</v>
      </c>
      <c r="J10" s="15">
        <v>0.99750000000000005</v>
      </c>
      <c r="K10" s="15">
        <v>0.15129999999999999</v>
      </c>
      <c r="L10" s="15">
        <v>0.2107</v>
      </c>
      <c r="M10" s="34">
        <v>0.18</v>
      </c>
      <c r="N10" s="15">
        <v>0.73170000000000002</v>
      </c>
      <c r="O10" s="15">
        <v>4.1999999999999997E-3</v>
      </c>
      <c r="P10" s="42">
        <f>+(((0.2*J10*100)-(0.04*($K$3-K10)/($K$3-$K$4))-(0.1*($L$3-L10)/($L$3-$L$4))-(0.15*($M$3-M10)/($M$3-$M$4))-(0.5*($N$3-N10)/($N$3-$N$4))-(0.01*($O$3-O10)/($O$3-$O$4)))/20)*100</f>
        <v>95.667848472041499</v>
      </c>
      <c r="Q10" s="9" t="s">
        <v>10</v>
      </c>
    </row>
    <row r="11" spans="1:17" ht="17" x14ac:dyDescent="0.2">
      <c r="A11" s="7" t="s">
        <v>36</v>
      </c>
      <c r="B11" s="7" t="s">
        <v>50</v>
      </c>
      <c r="C11" s="7">
        <v>33</v>
      </c>
      <c r="D11" s="8" t="s">
        <v>29</v>
      </c>
      <c r="E11" s="7">
        <v>33</v>
      </c>
      <c r="F11" s="19">
        <f t="shared" si="0"/>
        <v>0</v>
      </c>
      <c r="G11" s="19">
        <f>100%-F11</f>
        <v>1</v>
      </c>
      <c r="H11" s="8" t="s">
        <v>17</v>
      </c>
      <c r="I11" s="9" t="s">
        <v>12</v>
      </c>
      <c r="J11" s="15">
        <v>0.98309999999999997</v>
      </c>
      <c r="K11" s="33">
        <v>0.124</v>
      </c>
      <c r="L11" s="15">
        <v>0.48359999999999997</v>
      </c>
      <c r="M11" s="34">
        <v>0.14000000000000001</v>
      </c>
      <c r="N11" s="15">
        <v>4.2404000000000002</v>
      </c>
      <c r="O11" s="15">
        <v>1E-4</v>
      </c>
      <c r="P11" s="42">
        <f>+(((0.2*J11*100)-(0.04*($K$3-K11)/($K$3-$K$4))-(0.1*($L$3-L11)/($L$3-$L$4))-(0.15*($M$3-M11)/($M$3-$M$4))-(0.5*($N$3-N11)/($N$3-$N$4))-(0.01*($O$3-O11)/($O$3-$O$4)))/20)*100</f>
        <v>94.969374515843768</v>
      </c>
      <c r="Q11" s="9" t="s">
        <v>9</v>
      </c>
    </row>
    <row r="12" spans="1:17" ht="17" x14ac:dyDescent="0.2">
      <c r="A12" s="7" t="s">
        <v>37</v>
      </c>
      <c r="B12" s="7" t="s">
        <v>50</v>
      </c>
      <c r="C12" s="7">
        <v>33</v>
      </c>
      <c r="D12" s="8" t="s">
        <v>29</v>
      </c>
      <c r="E12" s="7">
        <v>33</v>
      </c>
      <c r="F12" s="19">
        <f t="shared" si="0"/>
        <v>0</v>
      </c>
      <c r="G12" s="19">
        <f>100%-F12</f>
        <v>1</v>
      </c>
      <c r="H12" s="8" t="s">
        <v>17</v>
      </c>
      <c r="I12" s="9" t="s">
        <v>14</v>
      </c>
      <c r="J12" s="15">
        <v>0.95230000000000004</v>
      </c>
      <c r="K12" s="15">
        <v>0.30380000000000001</v>
      </c>
      <c r="L12" s="33">
        <v>0.81299999999999994</v>
      </c>
      <c r="M12" s="34">
        <v>0.36</v>
      </c>
      <c r="N12" s="15">
        <v>6.7534000000000001</v>
      </c>
      <c r="O12" s="15">
        <v>5.7999999999999996E-3</v>
      </c>
      <c r="P12" s="42">
        <f>+(((0.2*J12*100)-(0.04*($K$3-K12)/($K$3-$K$4))-(0.1*($L$3-L12)/($L$3-$L$4))-(0.15*($M$3-M12)/($M$3-$M$4))-(0.5*($N$3-N12)/($N$3-$N$4))-(0.01*($O$3-O12)/($O$3-$O$4)))/20)*100</f>
        <v>92.549146270162751</v>
      </c>
      <c r="Q12" s="9" t="s">
        <v>9</v>
      </c>
    </row>
    <row r="13" spans="1:17" ht="17" x14ac:dyDescent="0.2">
      <c r="A13" s="7" t="s">
        <v>38</v>
      </c>
      <c r="B13" s="7" t="s">
        <v>50</v>
      </c>
      <c r="C13" s="7">
        <v>33</v>
      </c>
      <c r="D13" s="8" t="s">
        <v>29</v>
      </c>
      <c r="E13" s="7">
        <v>33</v>
      </c>
      <c r="F13" s="19">
        <f t="shared" si="0"/>
        <v>0</v>
      </c>
      <c r="G13" s="19">
        <f>100%-F13</f>
        <v>1</v>
      </c>
      <c r="H13" s="8" t="s">
        <v>17</v>
      </c>
      <c r="I13" s="9" t="s">
        <v>15</v>
      </c>
      <c r="J13" s="15">
        <v>0.93469999999999998</v>
      </c>
      <c r="K13" s="15">
        <v>0.22439999999999999</v>
      </c>
      <c r="L13" s="15">
        <v>0.95120000000000005</v>
      </c>
      <c r="M13" s="34">
        <v>0.26</v>
      </c>
      <c r="N13" s="15">
        <v>8.3923000000000005</v>
      </c>
      <c r="O13" s="10">
        <v>0</v>
      </c>
      <c r="P13" s="42">
        <f>+(((0.2*J13*100)-(0.04*($K$3-K13)/($K$3-$K$4))-(0.1*($L$3-L13)/($L$3-$L$4))-(0.15*($M$3-M13)/($M$3-$M$4))-(0.5*($N$3-N13)/($N$3-$N$4))-(0.01*($O$3-O13)/($O$3-$O$4)))/20)*100</f>
        <v>91.103804623669973</v>
      </c>
      <c r="Q13" s="9" t="s">
        <v>9</v>
      </c>
    </row>
    <row r="14" spans="1:17" ht="17" x14ac:dyDescent="0.2">
      <c r="A14" s="7" t="s">
        <v>39</v>
      </c>
      <c r="B14" s="7" t="s">
        <v>50</v>
      </c>
      <c r="C14" s="7">
        <v>33</v>
      </c>
      <c r="D14" s="8" t="s">
        <v>29</v>
      </c>
      <c r="E14" s="7">
        <v>33</v>
      </c>
      <c r="F14" s="19">
        <f t="shared" si="0"/>
        <v>0</v>
      </c>
      <c r="G14" s="19">
        <f>100%-F14</f>
        <v>1</v>
      </c>
      <c r="H14" s="8" t="s">
        <v>17</v>
      </c>
      <c r="I14" s="9" t="s">
        <v>16</v>
      </c>
      <c r="J14" s="15">
        <v>0.96850000000000003</v>
      </c>
      <c r="K14" s="15">
        <v>0.18840000000000001</v>
      </c>
      <c r="L14" s="15">
        <v>0.66069999999999995</v>
      </c>
      <c r="M14" s="34">
        <v>0.22</v>
      </c>
      <c r="N14" s="15">
        <v>5.7278000000000002</v>
      </c>
      <c r="O14" s="15">
        <v>2.3999999999999998E-3</v>
      </c>
      <c r="P14" s="42">
        <f>+(((0.2*J14*100)-(0.04*($K$3-K14)/($K$3-$K$4))-(0.1*($L$3-L14)/($L$3-$L$4))-(0.15*($M$3-M14)/($M$3-$M$4))-(0.5*($N$3-N14)/($N$3-$N$4))-(0.01*($O$3-O14)/($O$3-$O$4)))/20)*100</f>
        <v>93.87550303927361</v>
      </c>
      <c r="Q14" s="9" t="s">
        <v>9</v>
      </c>
    </row>
    <row r="15" spans="1:17" ht="17" x14ac:dyDescent="0.2">
      <c r="A15" s="11" t="s">
        <v>31</v>
      </c>
      <c r="B15" s="11" t="s">
        <v>51</v>
      </c>
      <c r="C15" s="11">
        <v>11</v>
      </c>
      <c r="D15" s="12" t="s">
        <v>29</v>
      </c>
      <c r="E15" s="11">
        <v>11</v>
      </c>
      <c r="F15" s="17">
        <f t="shared" si="0"/>
        <v>0</v>
      </c>
      <c r="G15" s="22">
        <f>100%-F15</f>
        <v>1</v>
      </c>
      <c r="H15" s="12" t="s">
        <v>17</v>
      </c>
      <c r="I15" s="13" t="s">
        <v>3</v>
      </c>
      <c r="J15" s="14">
        <v>0.95679999999999998</v>
      </c>
      <c r="K15" s="39">
        <v>0.63400000000000001</v>
      </c>
      <c r="L15" s="14">
        <v>0.84670000000000001</v>
      </c>
      <c r="M15" s="35">
        <v>0.75</v>
      </c>
      <c r="N15" s="14">
        <v>2.5386000000000002</v>
      </c>
      <c r="O15" s="14">
        <v>1.1999999999999999E-3</v>
      </c>
      <c r="P15" s="43">
        <f>+(((0.2*J15*100)-(0.04*($K$3-K15)/($K$3-$K$4))-(0.1*($L$3-L15)/($L$3-$L$4))-(0.15*($M$3-M15)/($M$3-$M$4))-(0.5*($N$3-N15)/($N$3-$N$4))-(0.01*($O$3-O15)/($O$3-$O$4)))/20)*100</f>
        <v>92.321631245566849</v>
      </c>
      <c r="Q15" s="13"/>
    </row>
    <row r="16" spans="1:17" ht="17" x14ac:dyDescent="0.2">
      <c r="A16" s="11" t="s">
        <v>32</v>
      </c>
      <c r="B16" s="11" t="s">
        <v>51</v>
      </c>
      <c r="C16" s="11">
        <v>11</v>
      </c>
      <c r="D16" s="12" t="s">
        <v>29</v>
      </c>
      <c r="E16" s="11">
        <v>11</v>
      </c>
      <c r="F16" s="17">
        <f>+((C16-E16)/C16)</f>
        <v>0</v>
      </c>
      <c r="G16" s="22">
        <f>100%-F16</f>
        <v>1</v>
      </c>
      <c r="H16" s="12" t="s">
        <v>17</v>
      </c>
      <c r="I16" s="13" t="s">
        <v>5</v>
      </c>
      <c r="J16" s="14">
        <v>0.95630000000000004</v>
      </c>
      <c r="K16" s="14">
        <v>0.6673</v>
      </c>
      <c r="L16" s="39">
        <v>0.85099999999999998</v>
      </c>
      <c r="M16" s="35">
        <v>0.79</v>
      </c>
      <c r="N16" s="14">
        <v>2.2690999999999999</v>
      </c>
      <c r="O16" s="39">
        <v>2E-3</v>
      </c>
      <c r="P16" s="43">
        <f>+(((0.2*J16*100)-(0.04*($K$3-K16)/($K$3-$K$4))-(0.1*($L$3-L16)/($L$3-$L$4))-(0.15*($M$3-M16)/($M$3-$M$4))-(0.5*($N$3-N16)/($N$3-$N$4))-(0.01*($O$3-O16)/($O$3-$O$4)))/20)*100</f>
        <v>92.234972744947783</v>
      </c>
      <c r="Q16" s="13" t="s">
        <v>6</v>
      </c>
    </row>
    <row r="17" spans="1:17" ht="17" x14ac:dyDescent="0.2">
      <c r="A17" s="11" t="s">
        <v>33</v>
      </c>
      <c r="B17" s="11" t="s">
        <v>51</v>
      </c>
      <c r="C17" s="11">
        <v>11</v>
      </c>
      <c r="D17" s="12" t="s">
        <v>29</v>
      </c>
      <c r="E17" s="11">
        <v>11</v>
      </c>
      <c r="F17" s="17">
        <f>+((C17-E17)/C17)</f>
        <v>0</v>
      </c>
      <c r="G17" s="22">
        <f>100%-F17</f>
        <v>1</v>
      </c>
      <c r="H17" s="12" t="s">
        <v>17</v>
      </c>
      <c r="I17" s="13" t="s">
        <v>7</v>
      </c>
      <c r="J17" s="14">
        <v>0.96009999999999995</v>
      </c>
      <c r="K17" s="14">
        <v>0.60460000000000003</v>
      </c>
      <c r="L17" s="14">
        <v>0.81359999999999999</v>
      </c>
      <c r="M17" s="35">
        <v>0.71</v>
      </c>
      <c r="N17" s="14">
        <v>2.3835999999999999</v>
      </c>
      <c r="O17" s="14">
        <v>4.4999999999999997E-3</v>
      </c>
      <c r="P17" s="43">
        <f>+(((0.2*J17*100)-(0.04*($K$3-K17)/($K$3-$K$4))-(0.1*($L$3-L17)/($L$3-$L$4))-(0.15*($M$3-M17)/($M$3-$M$4))-(0.5*($N$3-N17)/($N$3-$N$4))-(0.01*($O$3-O17)/($O$3-$O$4)))/20)*100</f>
        <v>92.597920361079744</v>
      </c>
      <c r="Q17" s="13"/>
    </row>
    <row r="18" spans="1:17" ht="17" x14ac:dyDescent="0.2">
      <c r="A18" s="11" t="s">
        <v>34</v>
      </c>
      <c r="B18" s="11" t="s">
        <v>51</v>
      </c>
      <c r="C18" s="11">
        <v>11</v>
      </c>
      <c r="D18" s="12" t="s">
        <v>29</v>
      </c>
      <c r="E18" s="11">
        <v>11</v>
      </c>
      <c r="F18" s="17">
        <f>+((C18-E18)/C18)</f>
        <v>0</v>
      </c>
      <c r="G18" s="22">
        <f>100%-F18</f>
        <v>1</v>
      </c>
      <c r="H18" s="12" t="s">
        <v>17</v>
      </c>
      <c r="I18" s="13" t="s">
        <v>8</v>
      </c>
      <c r="J18" s="14">
        <v>0.96379999999999999</v>
      </c>
      <c r="K18" s="14">
        <v>0.59260000000000002</v>
      </c>
      <c r="L18" s="14">
        <v>0.78059999999999996</v>
      </c>
      <c r="M18" s="35">
        <v>0.69</v>
      </c>
      <c r="N18" s="14">
        <v>2.5278999999999998</v>
      </c>
      <c r="O18" s="39">
        <v>2E-3</v>
      </c>
      <c r="P18" s="43">
        <f>+(((0.2*J18*100)-(0.04*($K$3-K18)/($K$3-$K$4))-(0.1*($L$3-L18)/($L$3-$L$4))-(0.15*($M$3-M18)/($M$3-$M$4))-(0.5*($N$3-N18)/($N$3-$N$4))-(0.01*($O$3-O18)/($O$3-$O$4)))/20)*100</f>
        <v>92.982641663132611</v>
      </c>
      <c r="Q18" s="13" t="s">
        <v>9</v>
      </c>
    </row>
    <row r="19" spans="1:17" ht="17" x14ac:dyDescent="0.2">
      <c r="A19" s="11" t="s">
        <v>35</v>
      </c>
      <c r="B19" s="11" t="s">
        <v>51</v>
      </c>
      <c r="C19" s="11">
        <v>11</v>
      </c>
      <c r="D19" s="12" t="s">
        <v>29</v>
      </c>
      <c r="E19" s="11">
        <v>11</v>
      </c>
      <c r="F19" s="17">
        <f>+((C19-E19)/C19)</f>
        <v>0</v>
      </c>
      <c r="G19" s="22">
        <f>100%-F19</f>
        <v>1</v>
      </c>
      <c r="H19" s="12" t="s">
        <v>17</v>
      </c>
      <c r="I19" s="13" t="s">
        <v>11</v>
      </c>
      <c r="J19" s="16">
        <v>0.96509999999999996</v>
      </c>
      <c r="K19" s="16">
        <v>0.47620000000000001</v>
      </c>
      <c r="L19" s="16">
        <v>0.71079999999999999</v>
      </c>
      <c r="M19" s="36">
        <v>0.55000000000000004</v>
      </c>
      <c r="N19" s="46">
        <v>3.6320000000000001</v>
      </c>
      <c r="O19" s="46">
        <v>8.0000000000000002E-3</v>
      </c>
      <c r="P19" s="44">
        <f>+(((0.2*J19*100)-(0.04*($K$3-K19)/($K$3-$K$4))-(0.1*($L$3-L19)/($L$3-$L$4))-(0.15*($M$3-M19)/($M$3-$M$4))-(0.5*($N$3-N19)/($N$3-$N$4))-(0.01*($O$3-O19)/($O$3-$O$4)))/20)*100</f>
        <v>93.262850284888302</v>
      </c>
      <c r="Q19" s="13" t="s">
        <v>10</v>
      </c>
    </row>
    <row r="20" spans="1:17" ht="17" x14ac:dyDescent="0.2">
      <c r="A20" s="11" t="s">
        <v>36</v>
      </c>
      <c r="B20" s="11" t="s">
        <v>51</v>
      </c>
      <c r="C20" s="11">
        <v>11</v>
      </c>
      <c r="D20" s="12" t="s">
        <v>29</v>
      </c>
      <c r="E20" s="11">
        <v>11</v>
      </c>
      <c r="F20" s="17">
        <f>+((C20-E20)/C20)</f>
        <v>0</v>
      </c>
      <c r="G20" s="22">
        <f>100%-F20</f>
        <v>1</v>
      </c>
      <c r="H20" s="12" t="s">
        <v>17</v>
      </c>
      <c r="I20" s="13" t="s">
        <v>12</v>
      </c>
      <c r="J20" s="39">
        <v>0.93600000000000005</v>
      </c>
      <c r="K20" s="35">
        <v>0.65</v>
      </c>
      <c r="L20" s="14">
        <v>0.95950000000000002</v>
      </c>
      <c r="M20" s="35">
        <v>0.76</v>
      </c>
      <c r="N20" s="14">
        <v>2.8883000000000001</v>
      </c>
      <c r="O20" s="14">
        <v>8.3999999999999995E-3</v>
      </c>
      <c r="P20" s="43">
        <f>+(((0.2*J20*100)-(0.04*($K$3-K20)/($K$3-$K$4))-(0.1*($L$3-L20)/($L$3-$L$4))-(0.15*($M$3-M20)/($M$3-$M$4))-(0.5*($N$3-N20)/($N$3-$N$4))-(0.01*($O$3-O20)/($O$3-$O$4)))/20)*100</f>
        <v>90.338771409764277</v>
      </c>
      <c r="Q20" s="13" t="s">
        <v>9</v>
      </c>
    </row>
    <row r="21" spans="1:17" ht="17" x14ac:dyDescent="0.2">
      <c r="A21" s="11" t="s">
        <v>37</v>
      </c>
      <c r="B21" s="11" t="s">
        <v>51</v>
      </c>
      <c r="C21" s="11">
        <v>11</v>
      </c>
      <c r="D21" s="12" t="s">
        <v>29</v>
      </c>
      <c r="E21" s="11">
        <v>11</v>
      </c>
      <c r="F21" s="17">
        <f>+((C21-E21)/C21)</f>
        <v>0</v>
      </c>
      <c r="G21" s="22">
        <f>100%-F21</f>
        <v>1</v>
      </c>
      <c r="H21" s="12" t="s">
        <v>17</v>
      </c>
      <c r="I21" s="13" t="s">
        <v>14</v>
      </c>
      <c r="J21" s="14">
        <v>0.94089999999999996</v>
      </c>
      <c r="K21" s="14">
        <v>0.59719999999999995</v>
      </c>
      <c r="L21" s="14">
        <v>0.92220000000000002</v>
      </c>
      <c r="M21" s="50">
        <v>0.7</v>
      </c>
      <c r="N21" s="14">
        <v>3.0893999999999999</v>
      </c>
      <c r="O21" s="14">
        <v>2.46E-2</v>
      </c>
      <c r="P21" s="43">
        <f>+(((0.2*J21*100)-(0.04*($K$3-K21)/($K$3-$K$4))-(0.1*($L$3-L21)/($L$3-$L$4))-(0.15*($M$3-M21)/($M$3-$M$4))-(0.5*($N$3-N21)/($N$3-$N$4))-(0.01*($O$3-O21)/($O$3-$O$4)))/20)*100</f>
        <v>90.837011842636443</v>
      </c>
      <c r="Q21" s="13" t="s">
        <v>9</v>
      </c>
    </row>
    <row r="22" spans="1:17" ht="17" x14ac:dyDescent="0.2">
      <c r="A22" s="11" t="s">
        <v>38</v>
      </c>
      <c r="B22" s="11" t="s">
        <v>51</v>
      </c>
      <c r="C22" s="11">
        <v>11</v>
      </c>
      <c r="D22" s="12" t="s">
        <v>29</v>
      </c>
      <c r="E22" s="11">
        <v>11</v>
      </c>
      <c r="F22" s="17">
        <f>+((C22-E22)/C22)</f>
        <v>0</v>
      </c>
      <c r="G22" s="22">
        <f>100%-F22</f>
        <v>1</v>
      </c>
      <c r="H22" s="12" t="s">
        <v>17</v>
      </c>
      <c r="I22" s="13" t="s">
        <v>15</v>
      </c>
      <c r="J22" s="14">
        <v>0.93810000000000004</v>
      </c>
      <c r="K22" s="14">
        <v>0.60660000000000003</v>
      </c>
      <c r="L22" s="14">
        <v>0.94320000000000004</v>
      </c>
      <c r="M22" s="35">
        <v>0.71</v>
      </c>
      <c r="N22" s="14">
        <v>3.1236999999999999</v>
      </c>
      <c r="O22" s="14">
        <v>4.5999999999999999E-3</v>
      </c>
      <c r="P22" s="43">
        <f>+(((0.2*J22*100)-(0.04*($K$3-K22)/($K$3-$K$4))-(0.1*($L$3-L22)/($L$3-$L$4))-(0.15*($M$3-M22)/($M$3-$M$4))-(0.5*($N$3-N22)/($N$3-$N$4))-(0.01*($O$3-O22)/($O$3-$O$4)))/20)*100</f>
        <v>90.571863273396986</v>
      </c>
      <c r="Q22" s="13" t="s">
        <v>9</v>
      </c>
    </row>
    <row r="23" spans="1:17" ht="17" x14ac:dyDescent="0.2">
      <c r="A23" s="11" t="s">
        <v>39</v>
      </c>
      <c r="B23" s="11" t="s">
        <v>51</v>
      </c>
      <c r="C23" s="11">
        <v>11</v>
      </c>
      <c r="D23" s="12" t="s">
        <v>29</v>
      </c>
      <c r="E23" s="11">
        <v>11</v>
      </c>
      <c r="F23" s="17">
        <f>+((C23-E23)/C23)</f>
        <v>0</v>
      </c>
      <c r="G23" s="22">
        <f>100%-F23</f>
        <v>1</v>
      </c>
      <c r="H23" s="12" t="s">
        <v>17</v>
      </c>
      <c r="I23" s="13" t="s">
        <v>16</v>
      </c>
      <c r="J23" s="14">
        <v>0.91790000000000005</v>
      </c>
      <c r="K23" s="14">
        <v>0.70479999999999998</v>
      </c>
      <c r="L23" s="14">
        <v>1.0867</v>
      </c>
      <c r="M23" s="35">
        <v>0.83</v>
      </c>
      <c r="N23" s="14">
        <v>4.3167999999999997</v>
      </c>
      <c r="O23" s="14">
        <v>5.7999999999999996E-3</v>
      </c>
      <c r="P23" s="43">
        <f>+(((0.2*J23*100)-(0.04*($K$3-K23)/($K$3-$K$4))-(0.1*($L$3-L23)/($L$3-$L$4))-(0.15*($M$3-M23)/($M$3-$M$4))-(0.5*($N$3-N23)/($N$3-$N$4))-(0.01*($O$3-O23)/($O$3-$O$4)))/20)*100</f>
        <v>88.869039352024103</v>
      </c>
      <c r="Q23" s="13" t="s">
        <v>9</v>
      </c>
    </row>
    <row r="24" spans="1:17" ht="17" x14ac:dyDescent="0.2">
      <c r="A24" s="7" t="s">
        <v>31</v>
      </c>
      <c r="B24" s="7" t="s">
        <v>52</v>
      </c>
      <c r="C24" s="7">
        <v>44</v>
      </c>
      <c r="D24" s="8" t="s">
        <v>29</v>
      </c>
      <c r="E24" s="7">
        <v>44</v>
      </c>
      <c r="F24" s="19">
        <f>+((C24-E24)/C24)</f>
        <v>0</v>
      </c>
      <c r="G24" s="19">
        <f>100%-F24</f>
        <v>1</v>
      </c>
      <c r="H24" s="8" t="s">
        <v>17</v>
      </c>
      <c r="I24" s="9" t="s">
        <v>3</v>
      </c>
      <c r="J24" s="15">
        <v>0.97889999999999999</v>
      </c>
      <c r="K24" s="15">
        <v>0.41870000000000002</v>
      </c>
      <c r="L24" s="15">
        <v>0.59179999999999999</v>
      </c>
      <c r="M24" s="34">
        <v>0.49</v>
      </c>
      <c r="N24" s="15">
        <v>2.4405000000000001</v>
      </c>
      <c r="O24" s="15">
        <v>5.4000000000000003E-3</v>
      </c>
      <c r="P24" s="42">
        <f>+(((0.2*J24*100)-(0.04*($K$3-K24)/($K$3-$K$4))-(0.1*($L$3-L24)/($L$3-$L$4))-(0.15*($M$3-M24)/($M$3-$M$4))-(0.5*($N$3-N24)/($N$3-$N$4))-(0.01*($O$3-O24)/($O$3-$O$4)))/20)*100</f>
        <v>94.3547091077983</v>
      </c>
      <c r="Q24" s="9"/>
    </row>
    <row r="25" spans="1:17" ht="17" x14ac:dyDescent="0.2">
      <c r="A25" s="7" t="s">
        <v>32</v>
      </c>
      <c r="B25" s="7" t="s">
        <v>52</v>
      </c>
      <c r="C25" s="7">
        <v>44</v>
      </c>
      <c r="D25" s="8" t="s">
        <v>29</v>
      </c>
      <c r="E25" s="7">
        <v>44</v>
      </c>
      <c r="F25" s="19">
        <f>+((C25-E25)/C25)</f>
        <v>0</v>
      </c>
      <c r="G25" s="19">
        <f>100%-F25</f>
        <v>1</v>
      </c>
      <c r="H25" s="8" t="s">
        <v>17</v>
      </c>
      <c r="I25" s="9" t="s">
        <v>5</v>
      </c>
      <c r="J25" s="15">
        <v>0.98009999999999997</v>
      </c>
      <c r="K25" s="15">
        <v>0.42259999999999998</v>
      </c>
      <c r="L25" s="15">
        <v>0.57489999999999997</v>
      </c>
      <c r="M25" s="47">
        <v>0.5</v>
      </c>
      <c r="N25" s="15">
        <v>2.0586000000000002</v>
      </c>
      <c r="O25" s="15">
        <v>1E-4</v>
      </c>
      <c r="P25" s="42">
        <f>+(((0.2*J25*100)-(0.04*($K$3-K25)/($K$3-$K$4))-(0.1*($L$3-L25)/($L$3-$L$4))-(0.15*($M$3-M25)/($M$3-$M$4))-(0.5*($N$3-N25)/($N$3-$N$4))-(0.01*($O$3-O25)/($O$3-$O$4)))/20)*100</f>
        <v>94.398329256328083</v>
      </c>
      <c r="Q25" s="9" t="s">
        <v>6</v>
      </c>
    </row>
    <row r="26" spans="1:17" ht="17" x14ac:dyDescent="0.2">
      <c r="A26" s="7" t="s">
        <v>33</v>
      </c>
      <c r="B26" s="7" t="s">
        <v>52</v>
      </c>
      <c r="C26" s="7">
        <v>44</v>
      </c>
      <c r="D26" s="8" t="s">
        <v>29</v>
      </c>
      <c r="E26" s="7">
        <v>44</v>
      </c>
      <c r="F26" s="19">
        <f>+((C26-E26)/C26)</f>
        <v>0</v>
      </c>
      <c r="G26" s="19">
        <f>100%-F26</f>
        <v>1</v>
      </c>
      <c r="H26" s="8" t="s">
        <v>17</v>
      </c>
      <c r="I26" s="9" t="s">
        <v>7</v>
      </c>
      <c r="J26" s="15">
        <v>0.97940000000000005</v>
      </c>
      <c r="K26" s="15">
        <v>0.42909999999999998</v>
      </c>
      <c r="L26" s="15">
        <v>0.58460000000000001</v>
      </c>
      <c r="M26" s="47">
        <v>0.5</v>
      </c>
      <c r="N26" s="15">
        <v>2.2877000000000001</v>
      </c>
      <c r="O26" s="15">
        <v>5.5999999999999999E-3</v>
      </c>
      <c r="P26" s="42">
        <f>+(((0.2*J26*100)-(0.04*($K$3-K26)/($K$3-$K$4))-(0.1*($L$3-L26)/($L$3-$L$4))-(0.15*($M$3-M26)/($M$3-$M$4))-(0.5*($N$3-N26)/($N$3-$N$4))-(0.01*($O$3-O26)/($O$3-$O$4)))/20)*100</f>
        <v>94.376996680340113</v>
      </c>
      <c r="Q26" s="9"/>
    </row>
    <row r="27" spans="1:17" ht="17" x14ac:dyDescent="0.2">
      <c r="A27" s="7" t="s">
        <v>34</v>
      </c>
      <c r="B27" s="7" t="s">
        <v>52</v>
      </c>
      <c r="C27" s="7">
        <v>44</v>
      </c>
      <c r="D27" s="8" t="s">
        <v>29</v>
      </c>
      <c r="E27" s="7">
        <v>44</v>
      </c>
      <c r="F27" s="19">
        <f>+((C27-E27)/C27)</f>
        <v>0</v>
      </c>
      <c r="G27" s="19">
        <f>100%-F27</f>
        <v>1</v>
      </c>
      <c r="H27" s="8" t="s">
        <v>17</v>
      </c>
      <c r="I27" s="9" t="s">
        <v>8</v>
      </c>
      <c r="J27" s="57">
        <v>0.999</v>
      </c>
      <c r="K27" s="56">
        <v>9.3299999999999994E-2</v>
      </c>
      <c r="L27" s="56">
        <v>0.12670000000000001</v>
      </c>
      <c r="M27" s="55">
        <v>0.11</v>
      </c>
      <c r="N27" s="56">
        <v>0.45190000000000002</v>
      </c>
      <c r="O27" s="56">
        <v>4.1999999999999997E-3</v>
      </c>
      <c r="P27" s="58">
        <f>+(((0.2*J27*100)-(0.04*($K$3-K27)/($K$3-$K$4))-(0.1*($L$3-L27)/($L$3-$L$4))-(0.15*($M$3-M27)/($M$3-$M$4))-(0.5*($N$3-N27)/($N$3-$N$4))-(0.01*($O$3-O27)/($O$3-$O$4)))/20)*100</f>
        <v>95.716316217272905</v>
      </c>
      <c r="Q27" s="9" t="s">
        <v>9</v>
      </c>
    </row>
    <row r="28" spans="1:17" ht="17" x14ac:dyDescent="0.2">
      <c r="A28" s="7" t="s">
        <v>35</v>
      </c>
      <c r="B28" s="7" t="s">
        <v>52</v>
      </c>
      <c r="C28" s="7">
        <v>44</v>
      </c>
      <c r="D28" s="8" t="s">
        <v>29</v>
      </c>
      <c r="E28" s="7">
        <v>44</v>
      </c>
      <c r="F28" s="19">
        <f>+((C28-E28)/C28)</f>
        <v>0</v>
      </c>
      <c r="G28" s="19">
        <f>100%-F28</f>
        <v>1</v>
      </c>
      <c r="H28" s="8" t="s">
        <v>17</v>
      </c>
      <c r="I28" s="9" t="s">
        <v>11</v>
      </c>
      <c r="J28" s="15">
        <v>0.99770000000000003</v>
      </c>
      <c r="K28" s="33">
        <v>0.14099999999999999</v>
      </c>
      <c r="L28" s="15">
        <v>0.19259999999999999</v>
      </c>
      <c r="M28" s="34">
        <v>0.17</v>
      </c>
      <c r="N28" s="15">
        <v>0.61439999999999995</v>
      </c>
      <c r="O28" s="15">
        <v>8.0000000000000004E-4</v>
      </c>
      <c r="P28" s="42">
        <f>+(((0.2*J28*100)-(0.04*($K$3-K28)/($K$3-$K$4))-(0.1*($L$3-L28)/($L$3-$L$4))-(0.15*($M$3-M28)/($M$3-$M$4))-(0.5*($N$3-N28)/($N$3-$N$4))-(0.01*($O$3-O28)/($O$3-$O$4)))/20)*100</f>
        <v>95.656360641848735</v>
      </c>
      <c r="Q28" s="9" t="s">
        <v>10</v>
      </c>
    </row>
    <row r="29" spans="1:17" ht="17" x14ac:dyDescent="0.2">
      <c r="A29" s="7" t="s">
        <v>36</v>
      </c>
      <c r="B29" s="7" t="s">
        <v>52</v>
      </c>
      <c r="C29" s="7">
        <v>44</v>
      </c>
      <c r="D29" s="8" t="s">
        <v>29</v>
      </c>
      <c r="E29" s="7">
        <v>44</v>
      </c>
      <c r="F29" s="19">
        <f>+((C29-E29)/C29)</f>
        <v>0</v>
      </c>
      <c r="G29" s="19">
        <f>100%-F29</f>
        <v>1</v>
      </c>
      <c r="H29" s="8" t="s">
        <v>17</v>
      </c>
      <c r="I29" s="9" t="s">
        <v>12</v>
      </c>
      <c r="J29" s="24">
        <v>0.99870000000000003</v>
      </c>
      <c r="K29" s="24">
        <v>9.5899999999999999E-2</v>
      </c>
      <c r="L29" s="52">
        <v>0.14899999999999999</v>
      </c>
      <c r="M29" s="38">
        <v>0.11</v>
      </c>
      <c r="N29" s="24">
        <v>0.71509999999999996</v>
      </c>
      <c r="O29" s="24">
        <v>1.5E-3</v>
      </c>
      <c r="P29" s="45">
        <f>+(((0.2*J29*100)-(0.04*($K$3-K29)/($K$3-$K$4))-(0.1*($L$3-L29)/($L$3-$L$4))-(0.15*($M$3-M29)/($M$3-$M$4))-(0.5*($N$3-N29)/($N$3-$N$4))-(0.01*($O$3-O29)/($O$3-$O$4)))/20)*100</f>
        <v>95.743718759095927</v>
      </c>
      <c r="Q29" s="9" t="s">
        <v>9</v>
      </c>
    </row>
    <row r="30" spans="1:17" ht="17" x14ac:dyDescent="0.2">
      <c r="A30" s="7" t="s">
        <v>37</v>
      </c>
      <c r="B30" s="7" t="s">
        <v>52</v>
      </c>
      <c r="C30" s="7">
        <v>44</v>
      </c>
      <c r="D30" s="8" t="s">
        <v>29</v>
      </c>
      <c r="E30" s="7">
        <v>44</v>
      </c>
      <c r="F30" s="19">
        <f>+((C30-E30)/C30)</f>
        <v>0</v>
      </c>
      <c r="G30" s="19">
        <f>100%-F30</f>
        <v>1</v>
      </c>
      <c r="H30" s="8" t="s">
        <v>17</v>
      </c>
      <c r="I30" s="9" t="s">
        <v>14</v>
      </c>
      <c r="J30" s="15">
        <v>0.99529999999999996</v>
      </c>
      <c r="K30" s="15">
        <v>0.21060000000000001</v>
      </c>
      <c r="L30" s="15">
        <v>0.2828</v>
      </c>
      <c r="M30" s="34">
        <v>0.25</v>
      </c>
      <c r="N30" s="15">
        <v>0.92610000000000003</v>
      </c>
      <c r="O30" s="15">
        <v>1.8E-3</v>
      </c>
      <c r="P30" s="42">
        <f>+(((0.2*J30*100)-(0.04*($K$3-K30)/($K$3-$K$4))-(0.1*($L$3-L30)/($L$3-$L$4))-(0.15*($M$3-M30)/($M$3-$M$4))-(0.5*($N$3-N30)/($N$3-$N$4))-(0.01*($O$3-O30)/($O$3-$O$4)))/20)*100</f>
        <v>95.530013246511743</v>
      </c>
      <c r="Q30" s="9" t="s">
        <v>9</v>
      </c>
    </row>
    <row r="31" spans="1:17" ht="17" x14ac:dyDescent="0.2">
      <c r="A31" s="7" t="s">
        <v>38</v>
      </c>
      <c r="B31" s="7" t="s">
        <v>52</v>
      </c>
      <c r="C31" s="7">
        <v>44</v>
      </c>
      <c r="D31" s="8" t="s">
        <v>29</v>
      </c>
      <c r="E31" s="7">
        <v>44</v>
      </c>
      <c r="F31" s="19">
        <f>+((C31-E31)/C31)</f>
        <v>0</v>
      </c>
      <c r="G31" s="19">
        <f>100%-F31</f>
        <v>1</v>
      </c>
      <c r="H31" s="8" t="s">
        <v>17</v>
      </c>
      <c r="I31" s="9" t="s">
        <v>15</v>
      </c>
      <c r="J31" s="15">
        <v>0.99229999999999996</v>
      </c>
      <c r="K31" s="15">
        <v>0.2094</v>
      </c>
      <c r="L31" s="15">
        <v>0.3614</v>
      </c>
      <c r="M31" s="34">
        <v>0.25</v>
      </c>
      <c r="N31" s="15">
        <v>2.3776000000000002</v>
      </c>
      <c r="O31" s="15">
        <v>1.1000000000000001E-3</v>
      </c>
      <c r="P31" s="42">
        <f>+(((0.2*J31*100)-(0.04*($K$3-K31)/($K$3-$K$4))-(0.1*($L$3-L31)/($L$3-$L$4))-(0.15*($M$3-M31)/($M$3-$M$4))-(0.5*($N$3-N31)/($N$3-$N$4))-(0.01*($O$3-O31)/($O$3-$O$4)))/20)*100</f>
        <v>95.536662749020849</v>
      </c>
      <c r="Q31" s="9" t="s">
        <v>9</v>
      </c>
    </row>
    <row r="32" spans="1:17" ht="17" x14ac:dyDescent="0.2">
      <c r="A32" s="7" t="s">
        <v>39</v>
      </c>
      <c r="B32" s="7" t="s">
        <v>52</v>
      </c>
      <c r="C32" s="7">
        <v>44</v>
      </c>
      <c r="D32" s="8" t="s">
        <v>29</v>
      </c>
      <c r="E32" s="7">
        <v>44</v>
      </c>
      <c r="F32" s="19">
        <f>+((C32-E32)/C32)</f>
        <v>0</v>
      </c>
      <c r="G32" s="19">
        <f>100%-F32</f>
        <v>1</v>
      </c>
      <c r="H32" s="8" t="s">
        <v>17</v>
      </c>
      <c r="I32" s="9" t="s">
        <v>16</v>
      </c>
      <c r="J32" s="15">
        <v>0.99150000000000005</v>
      </c>
      <c r="K32" s="15">
        <v>0.1925</v>
      </c>
      <c r="L32" s="15">
        <v>0.3785</v>
      </c>
      <c r="M32" s="15">
        <v>0.22</v>
      </c>
      <c r="N32" s="15">
        <v>2.3340000000000001</v>
      </c>
      <c r="O32" s="15">
        <v>1.9E-3</v>
      </c>
      <c r="P32" s="42">
        <f>+(((0.2*J32*100)-(0.04*($K$3-K32)/($K$3-$K$4))-(0.1*($L$3-L32)/($L$3-$L$4))-(0.15*($M$3-M32)/($M$3-$M$4))-(0.5*($N$3-N32)/($N$3-$N$4))-(0.01*($O$3-O32)/($O$3-$O$4)))/20)*100</f>
        <v>95.439578402316414</v>
      </c>
      <c r="Q32" s="9" t="s">
        <v>9</v>
      </c>
    </row>
    <row r="33" spans="1:17" ht="17" x14ac:dyDescent="0.2">
      <c r="A33" s="11" t="s">
        <v>31</v>
      </c>
      <c r="B33" s="12" t="s">
        <v>53</v>
      </c>
      <c r="C33" s="12">
        <v>33</v>
      </c>
      <c r="D33" s="12" t="s">
        <v>26</v>
      </c>
      <c r="E33" s="12">
        <v>7</v>
      </c>
      <c r="F33" s="80">
        <f>+((C33-E33)/C33)</f>
        <v>0.78787878787878785</v>
      </c>
      <c r="G33" s="80">
        <f>100%-F33</f>
        <v>0.21212121212121215</v>
      </c>
      <c r="H33" s="12" t="s">
        <v>17</v>
      </c>
      <c r="I33" s="13" t="s">
        <v>3</v>
      </c>
      <c r="J33" s="39">
        <v>0.88900000000000001</v>
      </c>
      <c r="K33" s="14">
        <v>0.98950000000000005</v>
      </c>
      <c r="L33" s="14">
        <v>1.3565</v>
      </c>
      <c r="M33" s="35">
        <v>1.1599999999999999</v>
      </c>
      <c r="N33" s="14">
        <v>4.2965999999999998</v>
      </c>
      <c r="O33" s="14">
        <v>5.0000000000000001E-4</v>
      </c>
      <c r="P33" s="43">
        <f>+(((0.2*J33*100)-(0.04*($K$3-K33)/($K$3-$K$4))-(0.1*($L$3-L33)/($L$3-$L$4))-(0.15*($M$3-M33)/($M$3-$M$4))-(0.5*($N$3-N33)/($N$3-$N$4))-(0.01*($O$3-O33)/($O$3-$O$4)))/20)*100</f>
        <v>86.165309590431377</v>
      </c>
      <c r="Q33" s="13"/>
    </row>
    <row r="34" spans="1:17" ht="17" x14ac:dyDescent="0.2">
      <c r="A34" s="11" t="s">
        <v>32</v>
      </c>
      <c r="B34" s="12" t="s">
        <v>53</v>
      </c>
      <c r="C34" s="12">
        <v>33</v>
      </c>
      <c r="D34" s="12" t="s">
        <v>26</v>
      </c>
      <c r="E34" s="12">
        <v>7</v>
      </c>
      <c r="F34" s="80">
        <f t="shared" ref="F34:F50" si="1">+((C34-E34)/C34)</f>
        <v>0.78787878787878785</v>
      </c>
      <c r="G34" s="80">
        <f t="shared" ref="G34:G59" si="2">100%-F34</f>
        <v>0.21212121212121215</v>
      </c>
      <c r="H34" s="12" t="s">
        <v>17</v>
      </c>
      <c r="I34" s="13" t="s">
        <v>5</v>
      </c>
      <c r="J34" s="14">
        <v>0.9546</v>
      </c>
      <c r="K34" s="14">
        <v>0.61470000000000002</v>
      </c>
      <c r="L34" s="39">
        <v>0.86799999999999999</v>
      </c>
      <c r="M34" s="35">
        <v>0.72</v>
      </c>
      <c r="N34" s="14">
        <v>2.7431000000000001</v>
      </c>
      <c r="O34" s="14">
        <v>1E-4</v>
      </c>
      <c r="P34" s="43">
        <f t="shared" ref="P34:P70" si="3">+(((0.2*J34*100)-(0.04*($K$3-K34)/($K$3-$K$4))-(0.1*($L$3-L34)/($L$3-$L$4))-(0.15*($M$3-M34)/($M$3-$M$4))-(0.5*($N$3-N34)/($N$3-$N$4))-(0.01*($O$3-O34)/($O$3-$O$4)))/20)*100</f>
        <v>92.134917710059355</v>
      </c>
      <c r="Q34" s="13" t="s">
        <v>6</v>
      </c>
    </row>
    <row r="35" spans="1:17" ht="17" x14ac:dyDescent="0.2">
      <c r="A35" s="11" t="s">
        <v>33</v>
      </c>
      <c r="B35" s="12" t="s">
        <v>53</v>
      </c>
      <c r="C35" s="12">
        <v>33</v>
      </c>
      <c r="D35" s="12" t="s">
        <v>26</v>
      </c>
      <c r="E35" s="12">
        <v>7</v>
      </c>
      <c r="F35" s="80">
        <f t="shared" si="1"/>
        <v>0.78787878787878785</v>
      </c>
      <c r="G35" s="80">
        <f t="shared" si="2"/>
        <v>0.21212121212121215</v>
      </c>
      <c r="H35" s="12" t="s">
        <v>17</v>
      </c>
      <c r="I35" s="13" t="s">
        <v>7</v>
      </c>
      <c r="J35" s="14">
        <v>0.95430000000000004</v>
      </c>
      <c r="K35" s="14">
        <v>0.63329999999999997</v>
      </c>
      <c r="L35" s="14">
        <v>0.87019999999999997</v>
      </c>
      <c r="M35" s="35">
        <v>0.75</v>
      </c>
      <c r="N35" s="14">
        <v>2.8452999999999999</v>
      </c>
      <c r="O35" s="14">
        <v>6.7999999999999996E-3</v>
      </c>
      <c r="P35" s="43">
        <f t="shared" si="3"/>
        <v>92.1378185488132</v>
      </c>
      <c r="Q35" s="13"/>
    </row>
    <row r="36" spans="1:17" ht="17" x14ac:dyDescent="0.2">
      <c r="A36" s="11" t="s">
        <v>34</v>
      </c>
      <c r="B36" s="12" t="s">
        <v>53</v>
      </c>
      <c r="C36" s="12">
        <v>33</v>
      </c>
      <c r="D36" s="12" t="s">
        <v>26</v>
      </c>
      <c r="E36" s="12">
        <v>7</v>
      </c>
      <c r="F36" s="80">
        <f t="shared" si="1"/>
        <v>0.78787878787878785</v>
      </c>
      <c r="G36" s="80">
        <f t="shared" si="2"/>
        <v>0.21212121212121215</v>
      </c>
      <c r="H36" s="12" t="s">
        <v>17</v>
      </c>
      <c r="I36" s="13" t="s">
        <v>8</v>
      </c>
      <c r="J36" s="14">
        <v>0.99009999999999998</v>
      </c>
      <c r="K36" s="14">
        <v>0.3201</v>
      </c>
      <c r="L36" s="14">
        <v>0.40920000000000001</v>
      </c>
      <c r="M36" s="35">
        <v>0.38</v>
      </c>
      <c r="N36" s="14">
        <v>1.0498000000000001</v>
      </c>
      <c r="O36" s="14">
        <v>1.6199999999999999E-2</v>
      </c>
      <c r="P36" s="43">
        <f t="shared" si="3"/>
        <v>95.113761422286757</v>
      </c>
      <c r="Q36" s="13" t="s">
        <v>9</v>
      </c>
    </row>
    <row r="37" spans="1:17" ht="17" x14ac:dyDescent="0.2">
      <c r="A37" s="11" t="s">
        <v>35</v>
      </c>
      <c r="B37" s="12" t="s">
        <v>53</v>
      </c>
      <c r="C37" s="12">
        <v>33</v>
      </c>
      <c r="D37" s="12" t="s">
        <v>26</v>
      </c>
      <c r="E37" s="12">
        <v>7</v>
      </c>
      <c r="F37" s="80">
        <f t="shared" si="1"/>
        <v>0.78787878787878785</v>
      </c>
      <c r="G37" s="80">
        <f t="shared" si="2"/>
        <v>0.21212121212121215</v>
      </c>
      <c r="H37" s="12" t="s">
        <v>17</v>
      </c>
      <c r="I37" s="13" t="s">
        <v>11</v>
      </c>
      <c r="J37" s="14">
        <v>0.98919999999999997</v>
      </c>
      <c r="K37" s="39">
        <v>0.30099999999999999</v>
      </c>
      <c r="L37" s="39">
        <v>0.39100000000000001</v>
      </c>
      <c r="M37" s="35">
        <v>0.36</v>
      </c>
      <c r="N37" s="14">
        <v>1.2401</v>
      </c>
      <c r="O37" s="14">
        <v>8.0000000000000004E-4</v>
      </c>
      <c r="P37" s="43">
        <f t="shared" si="3"/>
        <v>95.049618686825653</v>
      </c>
      <c r="Q37" s="13" t="s">
        <v>10</v>
      </c>
    </row>
    <row r="38" spans="1:17" ht="17" x14ac:dyDescent="0.2">
      <c r="A38" s="11" t="s">
        <v>36</v>
      </c>
      <c r="B38" s="12" t="s">
        <v>53</v>
      </c>
      <c r="C38" s="12">
        <v>33</v>
      </c>
      <c r="D38" s="12" t="s">
        <v>26</v>
      </c>
      <c r="E38" s="12">
        <v>7</v>
      </c>
      <c r="F38" s="80">
        <f t="shared" si="1"/>
        <v>0.78787878787878785</v>
      </c>
      <c r="G38" s="80">
        <f t="shared" si="2"/>
        <v>0.21212121212121215</v>
      </c>
      <c r="H38" s="12" t="s">
        <v>17</v>
      </c>
      <c r="I38" s="13" t="s">
        <v>12</v>
      </c>
      <c r="J38" s="75">
        <v>0.99270000000000003</v>
      </c>
      <c r="K38" s="75">
        <v>0.2266</v>
      </c>
      <c r="L38" s="75">
        <v>0.29270000000000002</v>
      </c>
      <c r="M38" s="76">
        <v>0.27</v>
      </c>
      <c r="N38" s="75">
        <v>0.87560000000000004</v>
      </c>
      <c r="O38" s="78">
        <v>2E-3</v>
      </c>
      <c r="P38" s="79">
        <f t="shared" si="3"/>
        <v>95.270036847341487</v>
      </c>
      <c r="Q38" s="13" t="s">
        <v>9</v>
      </c>
    </row>
    <row r="39" spans="1:17" ht="17" x14ac:dyDescent="0.2">
      <c r="A39" s="11" t="s">
        <v>37</v>
      </c>
      <c r="B39" s="12" t="s">
        <v>53</v>
      </c>
      <c r="C39" s="12">
        <v>33</v>
      </c>
      <c r="D39" s="12" t="s">
        <v>26</v>
      </c>
      <c r="E39" s="12">
        <v>7</v>
      </c>
      <c r="F39" s="80">
        <f t="shared" si="1"/>
        <v>0.78787878787878785</v>
      </c>
      <c r="G39" s="80">
        <f t="shared" si="2"/>
        <v>0.21212121212121215</v>
      </c>
      <c r="H39" s="12" t="s">
        <v>17</v>
      </c>
      <c r="I39" s="13" t="s">
        <v>14</v>
      </c>
      <c r="J39" s="14">
        <v>0.98939999999999995</v>
      </c>
      <c r="K39" s="14">
        <v>0.26379999999999998</v>
      </c>
      <c r="L39" s="14">
        <v>0.35310000000000002</v>
      </c>
      <c r="M39" s="35">
        <v>0.32</v>
      </c>
      <c r="N39" s="14">
        <v>0.89170000000000005</v>
      </c>
      <c r="O39" s="14">
        <v>2.0000000000000001E-4</v>
      </c>
      <c r="P39" s="43">
        <f t="shared" si="3"/>
        <v>94.975255523961494</v>
      </c>
      <c r="Q39" s="13" t="s">
        <v>9</v>
      </c>
    </row>
    <row r="40" spans="1:17" ht="17" x14ac:dyDescent="0.2">
      <c r="A40" s="11" t="s">
        <v>38</v>
      </c>
      <c r="B40" s="12" t="s">
        <v>53</v>
      </c>
      <c r="C40" s="12">
        <v>33</v>
      </c>
      <c r="D40" s="12" t="s">
        <v>26</v>
      </c>
      <c r="E40" s="12">
        <v>7</v>
      </c>
      <c r="F40" s="80">
        <f t="shared" si="1"/>
        <v>0.78787878787878785</v>
      </c>
      <c r="G40" s="80">
        <f t="shared" si="2"/>
        <v>0.21212121212121215</v>
      </c>
      <c r="H40" s="12" t="s">
        <v>17</v>
      </c>
      <c r="I40" s="13" t="s">
        <v>15</v>
      </c>
      <c r="J40" s="14">
        <v>0.98870000000000002</v>
      </c>
      <c r="K40" s="35">
        <v>0.27</v>
      </c>
      <c r="L40" s="39">
        <v>0.36599999999999999</v>
      </c>
      <c r="M40" s="35">
        <v>0.32</v>
      </c>
      <c r="N40" s="14">
        <v>0.97340000000000004</v>
      </c>
      <c r="O40" s="14">
        <v>6.9999999999999999E-4</v>
      </c>
      <c r="P40" s="43">
        <f t="shared" si="3"/>
        <v>94.92480801643319</v>
      </c>
      <c r="Q40" s="13" t="s">
        <v>9</v>
      </c>
    </row>
    <row r="41" spans="1:17" ht="17" x14ac:dyDescent="0.2">
      <c r="A41" s="11" t="s">
        <v>39</v>
      </c>
      <c r="B41" s="12" t="s">
        <v>53</v>
      </c>
      <c r="C41" s="12">
        <v>33</v>
      </c>
      <c r="D41" s="12" t="s">
        <v>26</v>
      </c>
      <c r="E41" s="12">
        <v>7</v>
      </c>
      <c r="F41" s="80">
        <f t="shared" si="1"/>
        <v>0.78787878787878785</v>
      </c>
      <c r="G41" s="80">
        <f t="shared" si="2"/>
        <v>0.21212121212121215</v>
      </c>
      <c r="H41" s="12" t="s">
        <v>17</v>
      </c>
      <c r="I41" s="13" t="s">
        <v>16</v>
      </c>
      <c r="J41" s="39">
        <v>0.99099999999999999</v>
      </c>
      <c r="K41" s="14">
        <v>0.25879999999999997</v>
      </c>
      <c r="L41" s="14">
        <v>0.32590000000000002</v>
      </c>
      <c r="M41" s="35">
        <v>0.31</v>
      </c>
      <c r="N41" s="14">
        <v>0.89759999999999995</v>
      </c>
      <c r="O41" s="14">
        <v>6.8999999999999999E-3</v>
      </c>
      <c r="P41" s="43">
        <f t="shared" si="3"/>
        <v>95.127487599920272</v>
      </c>
      <c r="Q41" s="13" t="s">
        <v>9</v>
      </c>
    </row>
    <row r="42" spans="1:17" ht="17" x14ac:dyDescent="0.2">
      <c r="A42" s="7" t="s">
        <v>31</v>
      </c>
      <c r="B42" s="7" t="s">
        <v>54</v>
      </c>
      <c r="C42" s="7">
        <v>11</v>
      </c>
      <c r="D42" s="8" t="s">
        <v>26</v>
      </c>
      <c r="E42" s="7">
        <v>5</v>
      </c>
      <c r="F42" s="26">
        <f t="shared" si="1"/>
        <v>0.54545454545454541</v>
      </c>
      <c r="G42" s="26">
        <f t="shared" si="2"/>
        <v>0.45454545454545459</v>
      </c>
      <c r="H42" s="8" t="s">
        <v>17</v>
      </c>
      <c r="I42" s="9" t="s">
        <v>3</v>
      </c>
      <c r="J42" s="15">
        <v>0.53349999999999997</v>
      </c>
      <c r="K42" s="15">
        <v>2.1747999999999998</v>
      </c>
      <c r="L42" s="15">
        <v>2.7812999999999999</v>
      </c>
      <c r="M42" s="34">
        <v>2.54</v>
      </c>
      <c r="N42" s="33">
        <v>7.8220000000000001</v>
      </c>
      <c r="O42" s="15">
        <v>3.6799999999999999E-2</v>
      </c>
      <c r="P42" s="42">
        <f t="shared" si="3"/>
        <v>52.177310978181666</v>
      </c>
      <c r="Q42" s="9"/>
    </row>
    <row r="43" spans="1:17" ht="17" x14ac:dyDescent="0.2">
      <c r="A43" s="7" t="s">
        <v>32</v>
      </c>
      <c r="B43" s="7" t="s">
        <v>54</v>
      </c>
      <c r="C43" s="7">
        <v>11</v>
      </c>
      <c r="D43" s="8" t="s">
        <v>26</v>
      </c>
      <c r="E43" s="7">
        <v>5</v>
      </c>
      <c r="F43" s="26">
        <f t="shared" si="1"/>
        <v>0.54545454545454541</v>
      </c>
      <c r="G43" s="26">
        <f t="shared" si="2"/>
        <v>0.45454545454545459</v>
      </c>
      <c r="H43" s="8" t="s">
        <v>17</v>
      </c>
      <c r="I43" s="9" t="s">
        <v>5</v>
      </c>
      <c r="J43" s="15">
        <v>0.548068</v>
      </c>
      <c r="K43" s="15">
        <v>2.1623160000000001</v>
      </c>
      <c r="L43" s="15">
        <v>2.7376860000000001</v>
      </c>
      <c r="M43" s="34">
        <v>2.5299999999999998</v>
      </c>
      <c r="N43" s="15">
        <v>7.5766999999999998</v>
      </c>
      <c r="O43" s="15">
        <v>5.8200000000000002E-2</v>
      </c>
      <c r="P43" s="42">
        <f t="shared" si="3"/>
        <v>53.572208961058386</v>
      </c>
      <c r="Q43" s="9" t="s">
        <v>6</v>
      </c>
    </row>
    <row r="44" spans="1:17" ht="17" x14ac:dyDescent="0.2">
      <c r="A44" s="7" t="s">
        <v>33</v>
      </c>
      <c r="B44" s="7" t="s">
        <v>54</v>
      </c>
      <c r="C44" s="7">
        <v>11</v>
      </c>
      <c r="D44" s="8" t="s">
        <v>26</v>
      </c>
      <c r="E44" s="7">
        <v>5</v>
      </c>
      <c r="F44" s="26">
        <f t="shared" si="1"/>
        <v>0.54545454545454541</v>
      </c>
      <c r="G44" s="26">
        <f t="shared" si="2"/>
        <v>0.45454545454545459</v>
      </c>
      <c r="H44" s="8" t="s">
        <v>17</v>
      </c>
      <c r="I44" s="9" t="s">
        <v>7</v>
      </c>
      <c r="J44" s="15">
        <v>0.58420000000000005</v>
      </c>
      <c r="K44" s="15">
        <v>2.0068999999999999</v>
      </c>
      <c r="L44" s="33">
        <v>2.6259999999999999</v>
      </c>
      <c r="M44" s="34">
        <v>2.34</v>
      </c>
      <c r="N44" s="15">
        <v>7.5110999999999999</v>
      </c>
      <c r="O44" s="15">
        <v>2.5000000000000001E-3</v>
      </c>
      <c r="P44" s="42">
        <f t="shared" si="3"/>
        <v>57.070879025820318</v>
      </c>
      <c r="Q44" s="9"/>
    </row>
    <row r="45" spans="1:17" ht="17" x14ac:dyDescent="0.2">
      <c r="A45" s="7" t="s">
        <v>34</v>
      </c>
      <c r="B45" s="7" t="s">
        <v>54</v>
      </c>
      <c r="C45" s="7">
        <v>11</v>
      </c>
      <c r="D45" s="8" t="s">
        <v>26</v>
      </c>
      <c r="E45" s="7">
        <v>5</v>
      </c>
      <c r="F45" s="26">
        <f t="shared" si="1"/>
        <v>0.54545454545454541</v>
      </c>
      <c r="G45" s="26">
        <f t="shared" si="2"/>
        <v>0.45454545454545459</v>
      </c>
      <c r="H45" s="8" t="s">
        <v>17</v>
      </c>
      <c r="I45" s="9" t="s">
        <v>8</v>
      </c>
      <c r="J45" s="33">
        <v>0.53800999999999999</v>
      </c>
      <c r="K45" s="15">
        <v>2.1617160000000002</v>
      </c>
      <c r="L45" s="33">
        <v>2.78898</v>
      </c>
      <c r="M45" s="34">
        <v>2.5099999999999998</v>
      </c>
      <c r="N45" s="15">
        <v>8.2896000000000001</v>
      </c>
      <c r="O45" s="15">
        <v>5.7000000000000002E-3</v>
      </c>
      <c r="P45" s="42">
        <f t="shared" si="3"/>
        <v>52.711902724737811</v>
      </c>
      <c r="Q45" s="9" t="s">
        <v>9</v>
      </c>
    </row>
    <row r="46" spans="1:17" ht="17" x14ac:dyDescent="0.2">
      <c r="A46" s="7" t="s">
        <v>35</v>
      </c>
      <c r="B46" s="7" t="s">
        <v>54</v>
      </c>
      <c r="C46" s="7">
        <v>11</v>
      </c>
      <c r="D46" s="8" t="s">
        <v>26</v>
      </c>
      <c r="E46" s="7">
        <v>5</v>
      </c>
      <c r="F46" s="26">
        <f t="shared" si="1"/>
        <v>0.54545454545454541</v>
      </c>
      <c r="G46" s="26">
        <f t="shared" si="2"/>
        <v>0.45454545454545459</v>
      </c>
      <c r="H46" s="8" t="s">
        <v>17</v>
      </c>
      <c r="I46" s="9" t="s">
        <v>11</v>
      </c>
      <c r="J46" s="15">
        <v>0.477688</v>
      </c>
      <c r="K46" s="15">
        <v>2.1004299999999998</v>
      </c>
      <c r="L46" s="15">
        <v>2.8785769999999999</v>
      </c>
      <c r="M46" s="34">
        <v>2.4700000000000002</v>
      </c>
      <c r="N46" s="15">
        <v>12.0372</v>
      </c>
      <c r="O46" s="15">
        <v>3.61E-2</v>
      </c>
      <c r="P46" s="42">
        <f t="shared" si="3"/>
        <v>47.430924252259672</v>
      </c>
      <c r="Q46" s="9" t="s">
        <v>10</v>
      </c>
    </row>
    <row r="47" spans="1:17" ht="17" x14ac:dyDescent="0.2">
      <c r="A47" s="7" t="s">
        <v>36</v>
      </c>
      <c r="B47" s="7" t="s">
        <v>54</v>
      </c>
      <c r="C47" s="7">
        <v>11</v>
      </c>
      <c r="D47" s="8" t="s">
        <v>26</v>
      </c>
      <c r="E47" s="7">
        <v>5</v>
      </c>
      <c r="F47" s="26">
        <f t="shared" si="1"/>
        <v>0.54545454545454541</v>
      </c>
      <c r="G47" s="26">
        <f t="shared" si="2"/>
        <v>0.45454545454545459</v>
      </c>
      <c r="H47" s="8" t="s">
        <v>17</v>
      </c>
      <c r="I47" s="9" t="s">
        <v>12</v>
      </c>
      <c r="J47" s="33">
        <v>0.56903800000000004</v>
      </c>
      <c r="K47" s="15">
        <v>1.8396790000000001</v>
      </c>
      <c r="L47" s="15">
        <v>2.4902989999999998</v>
      </c>
      <c r="M47" s="34">
        <v>2.16</v>
      </c>
      <c r="N47" s="15">
        <v>10.2502</v>
      </c>
      <c r="O47" s="15">
        <v>4.4000000000000003E-3</v>
      </c>
      <c r="P47" s="42">
        <f t="shared" si="3"/>
        <v>56.002086977036633</v>
      </c>
      <c r="Q47" s="9" t="s">
        <v>9</v>
      </c>
    </row>
    <row r="48" spans="1:17" ht="17" x14ac:dyDescent="0.2">
      <c r="A48" s="7" t="s">
        <v>37</v>
      </c>
      <c r="B48" s="7" t="s">
        <v>54</v>
      </c>
      <c r="C48" s="7">
        <v>11</v>
      </c>
      <c r="D48" s="8" t="s">
        <v>26</v>
      </c>
      <c r="E48" s="7">
        <v>5</v>
      </c>
      <c r="F48" s="26">
        <f t="shared" si="1"/>
        <v>0.54545454545454541</v>
      </c>
      <c r="G48" s="26">
        <f t="shared" si="2"/>
        <v>0.45454545454545459</v>
      </c>
      <c r="H48" s="8" t="s">
        <v>17</v>
      </c>
      <c r="I48" s="9" t="s">
        <v>14</v>
      </c>
      <c r="J48" s="16">
        <v>0.58747700000000003</v>
      </c>
      <c r="K48" s="46">
        <v>1.8169850000000001</v>
      </c>
      <c r="L48" s="16">
        <v>2.4364400000000002</v>
      </c>
      <c r="M48" s="36">
        <v>2.13</v>
      </c>
      <c r="N48" s="16">
        <v>9.5929000000000002</v>
      </c>
      <c r="O48" s="16">
        <v>1.1999999999999999E-3</v>
      </c>
      <c r="P48" s="44">
        <f t="shared" si="3"/>
        <v>57.691229215985594</v>
      </c>
      <c r="Q48" s="9" t="s">
        <v>9</v>
      </c>
    </row>
    <row r="49" spans="1:17" ht="17" x14ac:dyDescent="0.2">
      <c r="A49" s="7" t="s">
        <v>38</v>
      </c>
      <c r="B49" s="7" t="s">
        <v>54</v>
      </c>
      <c r="C49" s="7">
        <v>11</v>
      </c>
      <c r="D49" s="8" t="s">
        <v>26</v>
      </c>
      <c r="E49" s="7">
        <v>5</v>
      </c>
      <c r="F49" s="26">
        <f t="shared" si="1"/>
        <v>0.54545454545454541</v>
      </c>
      <c r="G49" s="26">
        <f t="shared" si="2"/>
        <v>0.45454545454545459</v>
      </c>
      <c r="H49" s="8" t="s">
        <v>17</v>
      </c>
      <c r="I49" s="9" t="s">
        <v>15</v>
      </c>
      <c r="J49" s="15">
        <v>0.56937499999999996</v>
      </c>
      <c r="K49" s="15">
        <v>1.8387249999999999</v>
      </c>
      <c r="L49" s="15">
        <v>2.4893230000000002</v>
      </c>
      <c r="M49" s="34">
        <v>2.16</v>
      </c>
      <c r="N49" s="15">
        <v>10.2986</v>
      </c>
      <c r="O49" s="15">
        <v>1.8800000000000001E-2</v>
      </c>
      <c r="P49" s="42">
        <f t="shared" si="3"/>
        <v>56.045488560419763</v>
      </c>
      <c r="Q49" s="9" t="s">
        <v>9</v>
      </c>
    </row>
    <row r="50" spans="1:17" ht="17" x14ac:dyDescent="0.2">
      <c r="A50" s="7" t="s">
        <v>39</v>
      </c>
      <c r="B50" s="7" t="s">
        <v>54</v>
      </c>
      <c r="C50" s="7">
        <v>11</v>
      </c>
      <c r="D50" s="8" t="s">
        <v>26</v>
      </c>
      <c r="E50" s="7">
        <v>5</v>
      </c>
      <c r="F50" s="26">
        <f t="shared" si="1"/>
        <v>0.54545454545454541</v>
      </c>
      <c r="G50" s="26">
        <f t="shared" si="2"/>
        <v>0.45454545454545459</v>
      </c>
      <c r="H50" s="8" t="s">
        <v>17</v>
      </c>
      <c r="I50" s="9" t="s">
        <v>16</v>
      </c>
      <c r="J50" s="15">
        <v>0.53865799999999997</v>
      </c>
      <c r="K50" s="15">
        <v>1.903386</v>
      </c>
      <c r="L50" s="15">
        <v>2.5765769999999999</v>
      </c>
      <c r="M50" s="34">
        <v>2.2400000000000002</v>
      </c>
      <c r="N50" s="15">
        <v>10.5923</v>
      </c>
      <c r="O50" s="15">
        <v>1.7399999999999999E-2</v>
      </c>
      <c r="P50" s="42">
        <f t="shared" si="3"/>
        <v>53.082704315363237</v>
      </c>
      <c r="Q50" s="9" t="s">
        <v>9</v>
      </c>
    </row>
    <row r="51" spans="1:17" ht="17" x14ac:dyDescent="0.2">
      <c r="A51" s="11" t="s">
        <v>31</v>
      </c>
      <c r="B51" s="11" t="s">
        <v>55</v>
      </c>
      <c r="C51" s="11">
        <v>44</v>
      </c>
      <c r="D51" s="12" t="s">
        <v>26</v>
      </c>
      <c r="E51" s="11">
        <v>12</v>
      </c>
      <c r="F51" s="22">
        <f t="shared" ref="F51" si="4">+((C51-E51)/C51)</f>
        <v>0.72727272727272729</v>
      </c>
      <c r="G51" s="22">
        <f t="shared" si="2"/>
        <v>0.27272727272727271</v>
      </c>
      <c r="H51" s="12" t="s">
        <v>17</v>
      </c>
      <c r="I51" s="13" t="s">
        <v>3</v>
      </c>
      <c r="J51" s="14">
        <v>0.90449999999999997</v>
      </c>
      <c r="K51" s="14">
        <v>0.93610000000000004</v>
      </c>
      <c r="L51" s="14">
        <v>1.2584</v>
      </c>
      <c r="M51" s="50">
        <v>1.1000000000000001</v>
      </c>
      <c r="N51" s="14">
        <v>5.7374999999999998</v>
      </c>
      <c r="O51" s="14">
        <v>2.5000000000000001E-3</v>
      </c>
      <c r="P51" s="43">
        <f t="shared" si="3"/>
        <v>87.960530493867253</v>
      </c>
      <c r="Q51" s="13"/>
    </row>
    <row r="52" spans="1:17" ht="17" x14ac:dyDescent="0.2">
      <c r="A52" s="11" t="s">
        <v>32</v>
      </c>
      <c r="B52" s="11" t="s">
        <v>55</v>
      </c>
      <c r="C52" s="11">
        <v>44</v>
      </c>
      <c r="D52" s="12" t="s">
        <v>26</v>
      </c>
      <c r="E52" s="11">
        <v>12</v>
      </c>
      <c r="F52" s="22">
        <f t="shared" ref="F52:F59" si="5">+((C52-E52)/C52)</f>
        <v>0.72727272727272729</v>
      </c>
      <c r="G52" s="22">
        <f t="shared" si="2"/>
        <v>0.27272727272727271</v>
      </c>
      <c r="H52" s="12" t="s">
        <v>17</v>
      </c>
      <c r="I52" s="13" t="s">
        <v>5</v>
      </c>
      <c r="J52" s="14">
        <v>0.93269999999999997</v>
      </c>
      <c r="K52" s="14">
        <v>0.73640000000000005</v>
      </c>
      <c r="L52" s="14">
        <v>1.0565</v>
      </c>
      <c r="M52" s="35">
        <v>0.86</v>
      </c>
      <c r="N52" s="14">
        <v>5.5551000000000004</v>
      </c>
      <c r="O52" s="14">
        <v>3.3E-3</v>
      </c>
      <c r="P52" s="43">
        <f t="shared" si="3"/>
        <v>90.605068313313311</v>
      </c>
      <c r="Q52" s="13" t="s">
        <v>6</v>
      </c>
    </row>
    <row r="53" spans="1:17" ht="17" x14ac:dyDescent="0.2">
      <c r="A53" s="11" t="s">
        <v>33</v>
      </c>
      <c r="B53" s="11" t="s">
        <v>55</v>
      </c>
      <c r="C53" s="11">
        <v>44</v>
      </c>
      <c r="D53" s="12" t="s">
        <v>26</v>
      </c>
      <c r="E53" s="11">
        <v>12</v>
      </c>
      <c r="F53" s="22">
        <f t="shared" si="5"/>
        <v>0.72727272727272729</v>
      </c>
      <c r="G53" s="22">
        <f t="shared" si="2"/>
        <v>0.27272727272727271</v>
      </c>
      <c r="H53" s="12" t="s">
        <v>17</v>
      </c>
      <c r="I53" s="13" t="s">
        <v>7</v>
      </c>
      <c r="J53" s="14">
        <v>0.94640000000000002</v>
      </c>
      <c r="K53" s="14">
        <v>0.68059999999999998</v>
      </c>
      <c r="L53" s="14">
        <v>0.94320000000000004</v>
      </c>
      <c r="M53" s="50">
        <v>0.8</v>
      </c>
      <c r="N53" s="39">
        <v>5.3380000000000001</v>
      </c>
      <c r="O53" s="14">
        <v>2.0999999999999999E-3</v>
      </c>
      <c r="P53" s="43">
        <f t="shared" si="3"/>
        <v>91.883973997323864</v>
      </c>
      <c r="Q53" s="13"/>
    </row>
    <row r="54" spans="1:17" ht="17" x14ac:dyDescent="0.2">
      <c r="A54" s="11" t="s">
        <v>34</v>
      </c>
      <c r="B54" s="11" t="s">
        <v>55</v>
      </c>
      <c r="C54" s="11">
        <v>44</v>
      </c>
      <c r="D54" s="12" t="s">
        <v>26</v>
      </c>
      <c r="E54" s="11">
        <v>12</v>
      </c>
      <c r="F54" s="22">
        <f t="shared" si="5"/>
        <v>0.72727272727272729</v>
      </c>
      <c r="G54" s="22">
        <f t="shared" si="2"/>
        <v>0.27272727272727271</v>
      </c>
      <c r="H54" s="12" t="s">
        <v>17</v>
      </c>
      <c r="I54" s="13" t="s">
        <v>8</v>
      </c>
      <c r="J54" s="14">
        <v>0.99009999999999998</v>
      </c>
      <c r="K54" s="14">
        <v>0.31659999999999999</v>
      </c>
      <c r="L54" s="14">
        <v>0.40839999999999999</v>
      </c>
      <c r="M54" s="35">
        <v>0.38</v>
      </c>
      <c r="N54" s="14">
        <v>1.1264000000000001</v>
      </c>
      <c r="O54" s="14">
        <v>5.9999999999999995E-4</v>
      </c>
      <c r="P54" s="43">
        <f t="shared" si="3"/>
        <v>95.128347973800146</v>
      </c>
      <c r="Q54" s="13" t="s">
        <v>9</v>
      </c>
    </row>
    <row r="55" spans="1:17" ht="17" x14ac:dyDescent="0.2">
      <c r="A55" s="11" t="s">
        <v>35</v>
      </c>
      <c r="B55" s="11" t="s">
        <v>55</v>
      </c>
      <c r="C55" s="11">
        <v>44</v>
      </c>
      <c r="D55" s="12" t="s">
        <v>26</v>
      </c>
      <c r="E55" s="11">
        <v>12</v>
      </c>
      <c r="F55" s="22">
        <f t="shared" si="5"/>
        <v>0.72727272727272729</v>
      </c>
      <c r="G55" s="22">
        <f t="shared" si="2"/>
        <v>0.27272727272727271</v>
      </c>
      <c r="H55" s="12" t="s">
        <v>17</v>
      </c>
      <c r="I55" s="13" t="s">
        <v>11</v>
      </c>
      <c r="J55" s="14">
        <v>0.9879</v>
      </c>
      <c r="K55" s="14">
        <v>0.33550000000000002</v>
      </c>
      <c r="L55" s="14">
        <v>0.43709999999999999</v>
      </c>
      <c r="M55" s="50">
        <v>0.4</v>
      </c>
      <c r="N55" s="14">
        <v>1.3655999999999999</v>
      </c>
      <c r="O55" s="14">
        <v>6.7000000000000002E-3</v>
      </c>
      <c r="P55" s="43">
        <f t="shared" si="3"/>
        <v>94.970610113301319</v>
      </c>
      <c r="Q55" s="13" t="s">
        <v>10</v>
      </c>
    </row>
    <row r="56" spans="1:17" ht="17" x14ac:dyDescent="0.2">
      <c r="A56" s="11" t="s">
        <v>36</v>
      </c>
      <c r="B56" s="11" t="s">
        <v>55</v>
      </c>
      <c r="C56" s="11">
        <v>44</v>
      </c>
      <c r="D56" s="12" t="s">
        <v>26</v>
      </c>
      <c r="E56" s="11">
        <v>12</v>
      </c>
      <c r="F56" s="22">
        <f t="shared" si="5"/>
        <v>0.72727272727272729</v>
      </c>
      <c r="G56" s="22">
        <f t="shared" si="2"/>
        <v>0.27272727272727271</v>
      </c>
      <c r="H56" s="12" t="s">
        <v>17</v>
      </c>
      <c r="I56" s="13" t="s">
        <v>12</v>
      </c>
      <c r="J56" s="14">
        <v>0.98729999999999996</v>
      </c>
      <c r="K56" s="14">
        <v>0.2787</v>
      </c>
      <c r="L56" s="14">
        <v>0.44669999999999999</v>
      </c>
      <c r="M56" s="35">
        <v>0.33</v>
      </c>
      <c r="N56" s="14">
        <v>2.6585999999999999</v>
      </c>
      <c r="O56" s="14">
        <v>5.0000000000000001E-4</v>
      </c>
      <c r="P56" s="43">
        <f t="shared" si="3"/>
        <v>95.143140389453123</v>
      </c>
      <c r="Q56" s="13" t="s">
        <v>9</v>
      </c>
    </row>
    <row r="57" spans="1:17" ht="17" x14ac:dyDescent="0.2">
      <c r="A57" s="11" t="s">
        <v>37</v>
      </c>
      <c r="B57" s="11" t="s">
        <v>55</v>
      </c>
      <c r="C57" s="11">
        <v>44</v>
      </c>
      <c r="D57" s="12" t="s">
        <v>26</v>
      </c>
      <c r="E57" s="11">
        <v>12</v>
      </c>
      <c r="F57" s="22">
        <f t="shared" si="5"/>
        <v>0.72727272727272729</v>
      </c>
      <c r="G57" s="22">
        <f t="shared" si="2"/>
        <v>0.27272727272727271</v>
      </c>
      <c r="H57" s="12" t="s">
        <v>17</v>
      </c>
      <c r="I57" s="13" t="s">
        <v>14</v>
      </c>
      <c r="J57" s="16">
        <v>0.9909</v>
      </c>
      <c r="K57" s="16">
        <v>0.27779999999999999</v>
      </c>
      <c r="L57" s="16">
        <v>0.37840000000000001</v>
      </c>
      <c r="M57" s="36">
        <v>0.33</v>
      </c>
      <c r="N57" s="16">
        <v>1.1483000000000001</v>
      </c>
      <c r="O57" s="16">
        <v>8.9999999999999998E-4</v>
      </c>
      <c r="P57" s="44">
        <f t="shared" si="3"/>
        <v>95.18644920109773</v>
      </c>
      <c r="Q57" s="13" t="s">
        <v>9</v>
      </c>
    </row>
    <row r="58" spans="1:17" ht="17" x14ac:dyDescent="0.2">
      <c r="A58" s="11" t="s">
        <v>38</v>
      </c>
      <c r="B58" s="11" t="s">
        <v>55</v>
      </c>
      <c r="C58" s="11">
        <v>44</v>
      </c>
      <c r="D58" s="12" t="s">
        <v>26</v>
      </c>
      <c r="E58" s="11">
        <v>12</v>
      </c>
      <c r="F58" s="22">
        <f t="shared" si="5"/>
        <v>0.72727272727272729</v>
      </c>
      <c r="G58" s="22">
        <f t="shared" si="2"/>
        <v>0.27272727272727271</v>
      </c>
      <c r="H58" s="12" t="s">
        <v>17</v>
      </c>
      <c r="I58" s="13" t="s">
        <v>15</v>
      </c>
      <c r="J58" s="14">
        <v>0.98529999999999995</v>
      </c>
      <c r="K58" s="14">
        <v>0.28239999999999998</v>
      </c>
      <c r="L58" s="14">
        <v>0.4803</v>
      </c>
      <c r="M58" s="35">
        <v>0.34</v>
      </c>
      <c r="N58" s="14">
        <v>3.2483</v>
      </c>
      <c r="O58" s="14">
        <v>1.9E-3</v>
      </c>
      <c r="P58" s="43">
        <f t="shared" si="3"/>
        <v>95.071809947080567</v>
      </c>
      <c r="Q58" s="13" t="s">
        <v>9</v>
      </c>
    </row>
    <row r="59" spans="1:17" ht="17" x14ac:dyDescent="0.2">
      <c r="A59" s="11" t="s">
        <v>39</v>
      </c>
      <c r="B59" s="11" t="s">
        <v>55</v>
      </c>
      <c r="C59" s="11">
        <v>44</v>
      </c>
      <c r="D59" s="12" t="s">
        <v>26</v>
      </c>
      <c r="E59" s="11">
        <v>12</v>
      </c>
      <c r="F59" s="22">
        <f t="shared" si="5"/>
        <v>0.72727272727272729</v>
      </c>
      <c r="G59" s="22">
        <f t="shared" si="2"/>
        <v>0.27272727272727271</v>
      </c>
      <c r="H59" s="12" t="s">
        <v>17</v>
      </c>
      <c r="I59" s="13" t="s">
        <v>16</v>
      </c>
      <c r="J59" s="39">
        <v>0.97799999999999998</v>
      </c>
      <c r="K59" s="14">
        <v>0.31180000000000002</v>
      </c>
      <c r="L59" s="14">
        <v>0.58809999999999996</v>
      </c>
      <c r="M59" s="35">
        <v>0.37</v>
      </c>
      <c r="N59" s="14">
        <v>3.8925999999999998</v>
      </c>
      <c r="O59" s="14">
        <v>2.3999999999999998E-3</v>
      </c>
      <c r="P59" s="43">
        <f t="shared" si="3"/>
        <v>94.505024785813347</v>
      </c>
      <c r="Q59" s="13" t="s">
        <v>9</v>
      </c>
    </row>
    <row r="60" spans="1:17" x14ac:dyDescent="0.2">
      <c r="A60" s="5"/>
      <c r="B60" s="5"/>
      <c r="C60" s="5"/>
      <c r="D60" s="6"/>
      <c r="E60" s="5"/>
      <c r="F60" s="30"/>
      <c r="G60" s="31"/>
      <c r="H60" s="6"/>
      <c r="I60" s="27"/>
      <c r="J60" s="28"/>
      <c r="K60" s="28"/>
      <c r="L60" s="28"/>
      <c r="M60" s="28"/>
      <c r="N60" s="28"/>
      <c r="O60" s="28"/>
      <c r="P60" s="42"/>
      <c r="Q60" s="27"/>
    </row>
    <row r="61" spans="1:17" ht="17" x14ac:dyDescent="0.2">
      <c r="A61" s="7" t="s">
        <v>31</v>
      </c>
      <c r="B61" s="8" t="s">
        <v>53</v>
      </c>
      <c r="C61" s="8">
        <v>33</v>
      </c>
      <c r="D61" s="8" t="s">
        <v>27</v>
      </c>
      <c r="E61" s="8">
        <v>14</v>
      </c>
      <c r="F61" s="19">
        <f>+((C61-E61)/C61)</f>
        <v>0.5757575757575758</v>
      </c>
      <c r="G61" s="19">
        <f>100%-F61</f>
        <v>0.4242424242424242</v>
      </c>
      <c r="H61" s="8" t="s">
        <v>17</v>
      </c>
      <c r="I61" s="9" t="s">
        <v>3</v>
      </c>
      <c r="J61" s="15">
        <v>0.82930000000000004</v>
      </c>
      <c r="K61" s="15">
        <v>1.2602</v>
      </c>
      <c r="L61" s="15">
        <v>1.6823999999999999</v>
      </c>
      <c r="M61" s="34">
        <v>1.48</v>
      </c>
      <c r="N61" s="15">
        <v>5.8296000000000001</v>
      </c>
      <c r="O61" s="15">
        <v>3.8300000000000001E-2</v>
      </c>
      <c r="P61" s="42">
        <f t="shared" si="3"/>
        <v>80.700497954795452</v>
      </c>
      <c r="Q61" s="9"/>
    </row>
    <row r="62" spans="1:17" ht="17" x14ac:dyDescent="0.2">
      <c r="A62" s="7" t="s">
        <v>32</v>
      </c>
      <c r="B62" s="8" t="s">
        <v>53</v>
      </c>
      <c r="C62" s="8">
        <v>33</v>
      </c>
      <c r="D62" s="8" t="s">
        <v>27</v>
      </c>
      <c r="E62" s="8">
        <v>14</v>
      </c>
      <c r="F62" s="19">
        <f t="shared" ref="F62:F87" si="6">+((C62-E62)/C62)</f>
        <v>0.5757575757575758</v>
      </c>
      <c r="G62" s="19">
        <f t="shared" ref="G62:G87" si="7">100%-F62</f>
        <v>0.4242424242424242</v>
      </c>
      <c r="H62" s="8" t="s">
        <v>17</v>
      </c>
      <c r="I62" s="9" t="s">
        <v>5</v>
      </c>
      <c r="J62" s="15">
        <v>0.88270000000000004</v>
      </c>
      <c r="K62" s="15">
        <v>1.0457000000000001</v>
      </c>
      <c r="L62" s="15">
        <v>1.3945000000000001</v>
      </c>
      <c r="M62" s="34">
        <v>1.23</v>
      </c>
      <c r="N62" s="15">
        <v>5.3247999999999998</v>
      </c>
      <c r="O62" s="15">
        <v>1.1000000000000001E-3</v>
      </c>
      <c r="P62" s="42">
        <f t="shared" si="3"/>
        <v>85.778117564279682</v>
      </c>
      <c r="Q62" s="9" t="s">
        <v>6</v>
      </c>
    </row>
    <row r="63" spans="1:17" ht="17" x14ac:dyDescent="0.2">
      <c r="A63" s="7" t="s">
        <v>33</v>
      </c>
      <c r="B63" s="8" t="s">
        <v>53</v>
      </c>
      <c r="C63" s="8">
        <v>33</v>
      </c>
      <c r="D63" s="8" t="s">
        <v>27</v>
      </c>
      <c r="E63" s="8">
        <v>14</v>
      </c>
      <c r="F63" s="19">
        <f t="shared" si="6"/>
        <v>0.5757575757575758</v>
      </c>
      <c r="G63" s="19">
        <f t="shared" si="7"/>
        <v>0.4242424242424242</v>
      </c>
      <c r="H63" s="8" t="s">
        <v>17</v>
      </c>
      <c r="I63" s="9" t="s">
        <v>7</v>
      </c>
      <c r="J63" s="15">
        <v>0.88770000000000004</v>
      </c>
      <c r="K63" s="15">
        <v>0.99619999999999997</v>
      </c>
      <c r="L63" s="15">
        <v>1.3646</v>
      </c>
      <c r="M63" s="34">
        <v>1.17</v>
      </c>
      <c r="N63" s="15">
        <v>5.1166999999999998</v>
      </c>
      <c r="O63" s="15">
        <v>8.0000000000000004E-4</v>
      </c>
      <c r="P63" s="42">
        <f t="shared" si="3"/>
        <v>86.205620621538287</v>
      </c>
      <c r="Q63" s="9"/>
    </row>
    <row r="64" spans="1:17" ht="17" x14ac:dyDescent="0.2">
      <c r="A64" s="7" t="s">
        <v>34</v>
      </c>
      <c r="B64" s="8" t="s">
        <v>53</v>
      </c>
      <c r="C64" s="8">
        <v>33</v>
      </c>
      <c r="D64" s="8" t="s">
        <v>27</v>
      </c>
      <c r="E64" s="8">
        <v>14</v>
      </c>
      <c r="F64" s="19">
        <f t="shared" si="6"/>
        <v>0.5757575757575758</v>
      </c>
      <c r="G64" s="19">
        <f t="shared" si="7"/>
        <v>0.4242424242424242</v>
      </c>
      <c r="H64" s="8" t="s">
        <v>17</v>
      </c>
      <c r="I64" s="9" t="s">
        <v>8</v>
      </c>
      <c r="J64" s="46">
        <v>0.95799999999999996</v>
      </c>
      <c r="K64" s="16">
        <v>0.64249999999999996</v>
      </c>
      <c r="L64" s="16">
        <v>0.8407</v>
      </c>
      <c r="M64" s="36">
        <v>0.75</v>
      </c>
      <c r="N64" s="16">
        <v>2.9216000000000002</v>
      </c>
      <c r="O64" s="16">
        <v>6.6E-3</v>
      </c>
      <c r="P64" s="44">
        <f t="shared" si="3"/>
        <v>92.518382951756038</v>
      </c>
      <c r="Q64" s="9" t="s">
        <v>9</v>
      </c>
    </row>
    <row r="65" spans="1:17" ht="17" x14ac:dyDescent="0.2">
      <c r="A65" s="7" t="s">
        <v>35</v>
      </c>
      <c r="B65" s="8" t="s">
        <v>53</v>
      </c>
      <c r="C65" s="8">
        <v>33</v>
      </c>
      <c r="D65" s="8" t="s">
        <v>27</v>
      </c>
      <c r="E65" s="8">
        <v>14</v>
      </c>
      <c r="F65" s="19">
        <f t="shared" si="6"/>
        <v>0.5757575757575758</v>
      </c>
      <c r="G65" s="19">
        <f t="shared" si="7"/>
        <v>0.4242424242424242</v>
      </c>
      <c r="H65" s="8" t="s">
        <v>17</v>
      </c>
      <c r="I65" s="9" t="s">
        <v>11</v>
      </c>
      <c r="J65" s="15">
        <v>0.95320000000000005</v>
      </c>
      <c r="K65" s="15">
        <v>0.61570000000000003</v>
      </c>
      <c r="L65" s="15">
        <v>0.83020000000000005</v>
      </c>
      <c r="M65" s="34">
        <v>0.73</v>
      </c>
      <c r="N65" s="15">
        <v>3.2614000000000001</v>
      </c>
      <c r="O65" s="15">
        <v>1.1999999999999999E-3</v>
      </c>
      <c r="P65" s="42">
        <f t="shared" si="3"/>
        <v>92.09515546039799</v>
      </c>
      <c r="Q65" s="9" t="s">
        <v>10</v>
      </c>
    </row>
    <row r="66" spans="1:17" ht="17" x14ac:dyDescent="0.2">
      <c r="A66" s="7" t="s">
        <v>36</v>
      </c>
      <c r="B66" s="8" t="s">
        <v>53</v>
      </c>
      <c r="C66" s="8">
        <v>33</v>
      </c>
      <c r="D66" s="8" t="s">
        <v>27</v>
      </c>
      <c r="E66" s="8">
        <v>14</v>
      </c>
      <c r="F66" s="19">
        <f t="shared" si="6"/>
        <v>0.5757575757575758</v>
      </c>
      <c r="G66" s="19">
        <f t="shared" si="7"/>
        <v>0.4242424242424242</v>
      </c>
      <c r="H66" s="8" t="s">
        <v>17</v>
      </c>
      <c r="I66" s="9" t="s">
        <v>12</v>
      </c>
      <c r="J66" s="33">
        <v>0.94199999999999995</v>
      </c>
      <c r="K66" s="15">
        <v>0.61650000000000005</v>
      </c>
      <c r="L66" s="15">
        <v>0.84150000000000003</v>
      </c>
      <c r="M66" s="34">
        <v>0.73</v>
      </c>
      <c r="N66" s="15">
        <v>2.5815000000000001</v>
      </c>
      <c r="O66" s="15">
        <v>6.1999999999999998E-3</v>
      </c>
      <c r="P66" s="42">
        <f t="shared" si="3"/>
        <v>90.840931500025917</v>
      </c>
      <c r="Q66" s="9" t="s">
        <v>9</v>
      </c>
    </row>
    <row r="67" spans="1:17" ht="17" x14ac:dyDescent="0.2">
      <c r="A67" s="7" t="s">
        <v>37</v>
      </c>
      <c r="B67" s="8" t="s">
        <v>53</v>
      </c>
      <c r="C67" s="8">
        <v>33</v>
      </c>
      <c r="D67" s="8" t="s">
        <v>27</v>
      </c>
      <c r="E67" s="8">
        <v>14</v>
      </c>
      <c r="F67" s="19">
        <f t="shared" si="6"/>
        <v>0.5757575757575758</v>
      </c>
      <c r="G67" s="19">
        <f t="shared" si="7"/>
        <v>0.4242424242424242</v>
      </c>
      <c r="H67" s="8" t="s">
        <v>17</v>
      </c>
      <c r="I67" s="9" t="s">
        <v>14</v>
      </c>
      <c r="J67" s="15">
        <v>0.94430000000000003</v>
      </c>
      <c r="K67" s="15">
        <v>0.63590000000000002</v>
      </c>
      <c r="L67" s="15">
        <v>0.8246</v>
      </c>
      <c r="M67" s="34">
        <v>0.76</v>
      </c>
      <c r="N67" s="15">
        <v>2.5611999999999999</v>
      </c>
      <c r="O67" s="15">
        <v>2.6200000000000001E-2</v>
      </c>
      <c r="P67" s="42">
        <f t="shared" si="3"/>
        <v>91.075857691033775</v>
      </c>
      <c r="Q67" s="9" t="s">
        <v>9</v>
      </c>
    </row>
    <row r="68" spans="1:17" ht="17" x14ac:dyDescent="0.2">
      <c r="A68" s="7" t="s">
        <v>38</v>
      </c>
      <c r="B68" s="8" t="s">
        <v>53</v>
      </c>
      <c r="C68" s="8">
        <v>33</v>
      </c>
      <c r="D68" s="8" t="s">
        <v>27</v>
      </c>
      <c r="E68" s="8">
        <v>14</v>
      </c>
      <c r="F68" s="19">
        <f t="shared" si="6"/>
        <v>0.5757575757575758</v>
      </c>
      <c r="G68" s="19">
        <f t="shared" si="7"/>
        <v>0.4242424242424242</v>
      </c>
      <c r="H68" s="8" t="s">
        <v>17</v>
      </c>
      <c r="I68" s="9" t="s">
        <v>15</v>
      </c>
      <c r="J68" s="15">
        <v>0.93810000000000004</v>
      </c>
      <c r="K68" s="15">
        <v>0.66069999999999995</v>
      </c>
      <c r="L68" s="15">
        <v>0.86870000000000003</v>
      </c>
      <c r="M68" s="34">
        <v>0.78</v>
      </c>
      <c r="N68" s="15">
        <v>2.5205000000000002</v>
      </c>
      <c r="O68" s="15">
        <v>2.5999999999999999E-3</v>
      </c>
      <c r="P68" s="42">
        <f t="shared" si="3"/>
        <v>90.464927743794433</v>
      </c>
      <c r="Q68" s="9" t="s">
        <v>9</v>
      </c>
    </row>
    <row r="69" spans="1:17" ht="17" x14ac:dyDescent="0.2">
      <c r="A69" s="7" t="s">
        <v>39</v>
      </c>
      <c r="B69" s="8" t="s">
        <v>53</v>
      </c>
      <c r="C69" s="8">
        <v>33</v>
      </c>
      <c r="D69" s="8" t="s">
        <v>27</v>
      </c>
      <c r="E69" s="8">
        <v>14</v>
      </c>
      <c r="F69" s="19">
        <f t="shared" si="6"/>
        <v>0.5757575757575758</v>
      </c>
      <c r="G69" s="19">
        <f t="shared" si="7"/>
        <v>0.4242424242424242</v>
      </c>
      <c r="H69" s="8" t="s">
        <v>17</v>
      </c>
      <c r="I69" s="9" t="s">
        <v>16</v>
      </c>
      <c r="J69" s="15">
        <v>0.94669999999999999</v>
      </c>
      <c r="K69" s="15">
        <v>0.59470000000000001</v>
      </c>
      <c r="L69" s="15">
        <v>0.80649999999999999</v>
      </c>
      <c r="M69" s="47">
        <v>0.7</v>
      </c>
      <c r="N69" s="34">
        <v>2.08</v>
      </c>
      <c r="O69" s="15">
        <v>6.1000000000000004E-3</v>
      </c>
      <c r="P69" s="42">
        <f t="shared" si="3"/>
        <v>91.191267380773084</v>
      </c>
      <c r="Q69" s="9" t="s">
        <v>9</v>
      </c>
    </row>
    <row r="70" spans="1:17" ht="17" x14ac:dyDescent="0.2">
      <c r="A70" s="11" t="s">
        <v>31</v>
      </c>
      <c r="B70" s="11" t="s">
        <v>54</v>
      </c>
      <c r="C70" s="11">
        <v>11</v>
      </c>
      <c r="D70" s="12" t="s">
        <v>28</v>
      </c>
      <c r="E70" s="11">
        <v>4</v>
      </c>
      <c r="F70" s="22">
        <f t="shared" si="6"/>
        <v>0.63636363636363635</v>
      </c>
      <c r="G70" s="22">
        <f t="shared" si="7"/>
        <v>0.36363636363636365</v>
      </c>
      <c r="H70" s="12" t="s">
        <v>17</v>
      </c>
      <c r="I70" s="13" t="s">
        <v>3</v>
      </c>
      <c r="J70" s="14">
        <v>0.61660000000000004</v>
      </c>
      <c r="K70" s="39">
        <v>1.996</v>
      </c>
      <c r="L70" s="14">
        <v>2.5215999999999998</v>
      </c>
      <c r="M70" s="35">
        <v>2.3199999999999998</v>
      </c>
      <c r="N70" s="14">
        <v>6.8452999999999999</v>
      </c>
      <c r="O70" s="14">
        <v>8.8000000000000005E-3</v>
      </c>
      <c r="P70" s="43">
        <f t="shared" si="3"/>
        <v>60.149330965968161</v>
      </c>
      <c r="Q70" s="13"/>
    </row>
    <row r="71" spans="1:17" ht="17" x14ac:dyDescent="0.2">
      <c r="A71" s="11" t="s">
        <v>32</v>
      </c>
      <c r="B71" s="11" t="s">
        <v>54</v>
      </c>
      <c r="C71" s="11">
        <v>11</v>
      </c>
      <c r="D71" s="12" t="s">
        <v>28</v>
      </c>
      <c r="E71" s="11">
        <v>4</v>
      </c>
      <c r="F71" s="22">
        <f t="shared" si="6"/>
        <v>0.63636363636363635</v>
      </c>
      <c r="G71" s="22">
        <f t="shared" si="7"/>
        <v>0.36363636363636365</v>
      </c>
      <c r="H71" s="12" t="s">
        <v>17</v>
      </c>
      <c r="I71" s="13" t="s">
        <v>5</v>
      </c>
      <c r="J71" s="16">
        <v>0.664076</v>
      </c>
      <c r="K71" s="16">
        <v>1.86389</v>
      </c>
      <c r="L71" s="16">
        <v>2.3603019999999999</v>
      </c>
      <c r="M71" s="36">
        <v>2.17</v>
      </c>
      <c r="N71" s="16">
        <v>6.4831000000000003</v>
      </c>
      <c r="O71" s="16">
        <v>6.3E-3</v>
      </c>
      <c r="P71" s="44">
        <f t="shared" ref="P71:P87" si="8">+(((0.2*J71*100)-(0.04*($K$3-K71)/($K$3-$K$4))-(0.1*($L$3-L71)/($L$3-$L$4))-(0.15*($M$3-M71)/($M$3-$M$4))-(0.5*($N$3-N71)/($N$3-$N$4))-(0.01*($O$3-O71)/($O$3-$O$4)))/20)*100</f>
        <v>64.729813600487603</v>
      </c>
      <c r="Q71" s="13" t="s">
        <v>6</v>
      </c>
    </row>
    <row r="72" spans="1:17" ht="17" x14ac:dyDescent="0.2">
      <c r="A72" s="11" t="s">
        <v>33</v>
      </c>
      <c r="B72" s="11" t="s">
        <v>54</v>
      </c>
      <c r="C72" s="11">
        <v>11</v>
      </c>
      <c r="D72" s="12" t="s">
        <v>28</v>
      </c>
      <c r="E72" s="11">
        <v>4</v>
      </c>
      <c r="F72" s="22">
        <f t="shared" si="6"/>
        <v>0.63636363636363635</v>
      </c>
      <c r="G72" s="22">
        <f t="shared" si="7"/>
        <v>0.36363636363636365</v>
      </c>
      <c r="H72" s="12" t="s">
        <v>17</v>
      </c>
      <c r="I72" s="13" t="s">
        <v>7</v>
      </c>
      <c r="J72" s="14">
        <v>0.65329999999999999</v>
      </c>
      <c r="K72" s="14">
        <v>1.9229000000000001</v>
      </c>
      <c r="L72" s="14">
        <v>2.3978000000000002</v>
      </c>
      <c r="M72" s="35">
        <v>2.2400000000000002</v>
      </c>
      <c r="N72" s="14">
        <v>6.6722000000000001</v>
      </c>
      <c r="O72" s="14">
        <v>0.11409999999999999</v>
      </c>
      <c r="P72" s="43">
        <f t="shared" si="8"/>
        <v>63.728623617229438</v>
      </c>
      <c r="Q72" s="13"/>
    </row>
    <row r="73" spans="1:17" ht="17" x14ac:dyDescent="0.2">
      <c r="A73" s="11" t="s">
        <v>34</v>
      </c>
      <c r="B73" s="11" t="s">
        <v>54</v>
      </c>
      <c r="C73" s="11">
        <v>11</v>
      </c>
      <c r="D73" s="12" t="s">
        <v>28</v>
      </c>
      <c r="E73" s="11">
        <v>4</v>
      </c>
      <c r="F73" s="22">
        <f t="shared" si="6"/>
        <v>0.63636363636363635</v>
      </c>
      <c r="G73" s="22">
        <f t="shared" si="7"/>
        <v>0.36363636363636365</v>
      </c>
      <c r="H73" s="12" t="s">
        <v>17</v>
      </c>
      <c r="I73" s="13" t="s">
        <v>8</v>
      </c>
      <c r="J73" s="14">
        <v>0.65394200000000002</v>
      </c>
      <c r="K73" s="35">
        <v>1.9400219999999999</v>
      </c>
      <c r="L73" s="14">
        <v>2.4138120000000001</v>
      </c>
      <c r="M73" s="35">
        <v>2.2400000000000002</v>
      </c>
      <c r="N73" s="39">
        <v>5.827</v>
      </c>
      <c r="O73" s="14">
        <v>0.1027</v>
      </c>
      <c r="P73" s="43">
        <f t="shared" si="8"/>
        <v>63.627677569007666</v>
      </c>
      <c r="Q73" s="13" t="s">
        <v>9</v>
      </c>
    </row>
    <row r="74" spans="1:17" ht="17" x14ac:dyDescent="0.2">
      <c r="A74" s="11" t="s">
        <v>35</v>
      </c>
      <c r="B74" s="11" t="s">
        <v>54</v>
      </c>
      <c r="C74" s="11">
        <v>11</v>
      </c>
      <c r="D74" s="12" t="s">
        <v>28</v>
      </c>
      <c r="E74" s="11">
        <v>4</v>
      </c>
      <c r="F74" s="22">
        <f t="shared" si="6"/>
        <v>0.63636363636363635</v>
      </c>
      <c r="G74" s="22">
        <f t="shared" si="7"/>
        <v>0.36363636363636365</v>
      </c>
      <c r="H74" s="12" t="s">
        <v>17</v>
      </c>
      <c r="I74" s="13" t="s">
        <v>11</v>
      </c>
      <c r="J74" s="14">
        <v>0.61480199999999996</v>
      </c>
      <c r="K74" s="14">
        <v>1.6943060000000001</v>
      </c>
      <c r="L74" s="14">
        <v>2.414126</v>
      </c>
      <c r="M74" s="35">
        <v>1.99</v>
      </c>
      <c r="N74" s="14">
        <v>8.8636999999999997</v>
      </c>
      <c r="O74" s="14">
        <v>1.6199999999999999E-2</v>
      </c>
      <c r="P74" s="43">
        <f t="shared" si="8"/>
        <v>60.214354501131119</v>
      </c>
      <c r="Q74" s="13" t="s">
        <v>10</v>
      </c>
    </row>
    <row r="75" spans="1:17" ht="17" x14ac:dyDescent="0.2">
      <c r="A75" s="11" t="s">
        <v>36</v>
      </c>
      <c r="B75" s="11" t="s">
        <v>54</v>
      </c>
      <c r="C75" s="11">
        <v>11</v>
      </c>
      <c r="D75" s="12" t="s">
        <v>28</v>
      </c>
      <c r="E75" s="11">
        <v>4</v>
      </c>
      <c r="F75" s="22">
        <f t="shared" si="6"/>
        <v>0.63636363636363635</v>
      </c>
      <c r="G75" s="22">
        <f t="shared" si="7"/>
        <v>0.36363636363636365</v>
      </c>
      <c r="H75" s="12" t="s">
        <v>17</v>
      </c>
      <c r="I75" s="13" t="s">
        <v>12</v>
      </c>
      <c r="J75" s="14">
        <v>0.55840500000000004</v>
      </c>
      <c r="K75" s="14">
        <v>1.8747819999999999</v>
      </c>
      <c r="L75" s="14">
        <v>2.713908</v>
      </c>
      <c r="M75" s="35">
        <v>2.16</v>
      </c>
      <c r="N75" s="14">
        <v>1.8748</v>
      </c>
      <c r="O75" s="14">
        <v>2.7139000000000002</v>
      </c>
      <c r="P75" s="43">
        <f t="shared" si="8"/>
        <v>53.353036171600763</v>
      </c>
      <c r="Q75" s="13" t="s">
        <v>9</v>
      </c>
    </row>
    <row r="76" spans="1:17" ht="17" x14ac:dyDescent="0.2">
      <c r="A76" s="11" t="s">
        <v>37</v>
      </c>
      <c r="B76" s="11" t="s">
        <v>54</v>
      </c>
      <c r="C76" s="11">
        <v>11</v>
      </c>
      <c r="D76" s="12" t="s">
        <v>28</v>
      </c>
      <c r="E76" s="11">
        <v>4</v>
      </c>
      <c r="F76" s="22">
        <f t="shared" si="6"/>
        <v>0.63636363636363635</v>
      </c>
      <c r="G76" s="22">
        <f t="shared" si="7"/>
        <v>0.36363636363636365</v>
      </c>
      <c r="H76" s="12" t="s">
        <v>17</v>
      </c>
      <c r="I76" s="13" t="s">
        <v>14</v>
      </c>
      <c r="J76" s="39">
        <v>0.51303600000000005</v>
      </c>
      <c r="K76" s="14">
        <v>1.8988499999999999</v>
      </c>
      <c r="L76" s="14">
        <v>2.8499119999999998</v>
      </c>
      <c r="M76" s="35">
        <v>2.1800000000000002</v>
      </c>
      <c r="N76" s="14">
        <v>12.8308</v>
      </c>
      <c r="O76" s="14">
        <v>9.2999999999999992E-3</v>
      </c>
      <c r="P76" s="43">
        <f t="shared" si="8"/>
        <v>51.002602955427555</v>
      </c>
      <c r="Q76" s="13" t="s">
        <v>9</v>
      </c>
    </row>
    <row r="77" spans="1:17" ht="17" x14ac:dyDescent="0.2">
      <c r="A77" s="11" t="s">
        <v>38</v>
      </c>
      <c r="B77" s="11" t="s">
        <v>54</v>
      </c>
      <c r="C77" s="11">
        <v>11</v>
      </c>
      <c r="D77" s="12" t="s">
        <v>28</v>
      </c>
      <c r="E77" s="11">
        <v>4</v>
      </c>
      <c r="F77" s="22">
        <f t="shared" si="6"/>
        <v>0.63636363636363635</v>
      </c>
      <c r="G77" s="22">
        <f t="shared" si="7"/>
        <v>0.36363636363636365</v>
      </c>
      <c r="H77" s="12" t="s">
        <v>17</v>
      </c>
      <c r="I77" s="13" t="s">
        <v>15</v>
      </c>
      <c r="J77" s="39">
        <v>0.53501399999999999</v>
      </c>
      <c r="K77" s="14">
        <v>1.8887160000000001</v>
      </c>
      <c r="L77" s="14">
        <v>2.7848579999999998</v>
      </c>
      <c r="M77" s="35">
        <v>2.17</v>
      </c>
      <c r="N77" s="14">
        <v>12.2553</v>
      </c>
      <c r="O77" s="14">
        <v>9.9000000000000008E-3</v>
      </c>
      <c r="P77" s="43">
        <f t="shared" si="8"/>
        <v>53.067880452603887</v>
      </c>
      <c r="Q77" s="13" t="s">
        <v>9</v>
      </c>
    </row>
    <row r="78" spans="1:17" ht="17" x14ac:dyDescent="0.2">
      <c r="A78" s="11" t="s">
        <v>39</v>
      </c>
      <c r="B78" s="11" t="s">
        <v>54</v>
      </c>
      <c r="C78" s="11">
        <v>11</v>
      </c>
      <c r="D78" s="12" t="s">
        <v>28</v>
      </c>
      <c r="E78" s="11">
        <v>4</v>
      </c>
      <c r="F78" s="22">
        <f t="shared" si="6"/>
        <v>0.63636363636363635</v>
      </c>
      <c r="G78" s="22">
        <f t="shared" si="7"/>
        <v>0.36363636363636365</v>
      </c>
      <c r="H78" s="12" t="s">
        <v>17</v>
      </c>
      <c r="I78" s="13" t="s">
        <v>16</v>
      </c>
      <c r="J78" s="14">
        <v>0.52061999999999997</v>
      </c>
      <c r="K78" s="14">
        <v>1.887756</v>
      </c>
      <c r="L78" s="14">
        <v>2.8276330000000001</v>
      </c>
      <c r="M78" s="35">
        <v>2.1800000000000002</v>
      </c>
      <c r="N78" s="14">
        <v>13.320399999999999</v>
      </c>
      <c r="O78" s="14">
        <v>7.5700000000000003E-2</v>
      </c>
      <c r="P78" s="43">
        <f t="shared" si="8"/>
        <v>51.855133899614515</v>
      </c>
      <c r="Q78" s="13" t="s">
        <v>9</v>
      </c>
    </row>
    <row r="79" spans="1:17" ht="17" x14ac:dyDescent="0.2">
      <c r="A79" s="7" t="s">
        <v>31</v>
      </c>
      <c r="B79" s="7" t="s">
        <v>55</v>
      </c>
      <c r="C79" s="7">
        <v>44</v>
      </c>
      <c r="D79" s="8" t="s">
        <v>27</v>
      </c>
      <c r="E79" s="7">
        <v>16</v>
      </c>
      <c r="F79" s="26">
        <f t="shared" si="6"/>
        <v>0.63636363636363635</v>
      </c>
      <c r="G79" s="26">
        <f t="shared" si="7"/>
        <v>0.36363636363636365</v>
      </c>
      <c r="H79" s="8" t="s">
        <v>17</v>
      </c>
      <c r="I79" s="9" t="s">
        <v>3</v>
      </c>
      <c r="J79" s="33">
        <v>0.73699999999999999</v>
      </c>
      <c r="K79" s="15">
        <v>1.6217999999999999</v>
      </c>
      <c r="L79" s="15">
        <v>2.0884999999999998</v>
      </c>
      <c r="M79" s="34">
        <v>1.89</v>
      </c>
      <c r="N79" s="15">
        <v>6.8555000000000001</v>
      </c>
      <c r="O79" s="15">
        <v>1.8E-3</v>
      </c>
      <c r="P79" s="42">
        <f t="shared" si="8"/>
        <v>71.927022268191209</v>
      </c>
      <c r="Q79" s="9"/>
    </row>
    <row r="80" spans="1:17" ht="17" x14ac:dyDescent="0.2">
      <c r="A80" s="7" t="s">
        <v>32</v>
      </c>
      <c r="B80" s="7" t="s">
        <v>55</v>
      </c>
      <c r="C80" s="7">
        <v>44</v>
      </c>
      <c r="D80" s="8" t="s">
        <v>27</v>
      </c>
      <c r="E80" s="7">
        <v>16</v>
      </c>
      <c r="F80" s="26">
        <f t="shared" si="6"/>
        <v>0.63636363636363635</v>
      </c>
      <c r="G80" s="26">
        <f t="shared" si="7"/>
        <v>0.36363636363636365</v>
      </c>
      <c r="H80" s="8" t="s">
        <v>17</v>
      </c>
      <c r="I80" s="9" t="s">
        <v>5</v>
      </c>
      <c r="J80" s="15">
        <v>0.75029999999999997</v>
      </c>
      <c r="K80" s="15">
        <v>1.5652999999999999</v>
      </c>
      <c r="L80" s="15">
        <v>2.0350000000000001</v>
      </c>
      <c r="M80" s="34">
        <v>1.82</v>
      </c>
      <c r="N80" s="33">
        <v>6.8159999999999998</v>
      </c>
      <c r="O80" s="10">
        <v>0</v>
      </c>
      <c r="P80" s="42">
        <f t="shared" si="8"/>
        <v>73.20978143239148</v>
      </c>
      <c r="Q80" s="9" t="s">
        <v>6</v>
      </c>
    </row>
    <row r="81" spans="1:17" ht="17" x14ac:dyDescent="0.2">
      <c r="A81" s="7" t="s">
        <v>33</v>
      </c>
      <c r="B81" s="7" t="s">
        <v>55</v>
      </c>
      <c r="C81" s="7">
        <v>44</v>
      </c>
      <c r="D81" s="8" t="s">
        <v>27</v>
      </c>
      <c r="E81" s="7">
        <v>16</v>
      </c>
      <c r="F81" s="26">
        <f t="shared" si="6"/>
        <v>0.63636363636363635</v>
      </c>
      <c r="G81" s="26">
        <f t="shared" si="7"/>
        <v>0.36363636363636365</v>
      </c>
      <c r="H81" s="8" t="s">
        <v>17</v>
      </c>
      <c r="I81" s="9" t="s">
        <v>7</v>
      </c>
      <c r="J81" s="15">
        <v>0.76790000000000003</v>
      </c>
      <c r="K81" s="15">
        <v>1.5108999999999999</v>
      </c>
      <c r="L81" s="15">
        <v>1.9621</v>
      </c>
      <c r="M81" s="34">
        <v>1.76</v>
      </c>
      <c r="N81" s="15">
        <v>6.9211</v>
      </c>
      <c r="O81" s="15">
        <v>3.3E-3</v>
      </c>
      <c r="P81" s="42">
        <f t="shared" si="8"/>
        <v>74.95145123771519</v>
      </c>
      <c r="Q81" s="9"/>
    </row>
    <row r="82" spans="1:17" ht="17" x14ac:dyDescent="0.2">
      <c r="A82" s="7" t="s">
        <v>34</v>
      </c>
      <c r="B82" s="7" t="s">
        <v>55</v>
      </c>
      <c r="C82" s="7">
        <v>44</v>
      </c>
      <c r="D82" s="8" t="s">
        <v>27</v>
      </c>
      <c r="E82" s="7">
        <v>16</v>
      </c>
      <c r="F82" s="26">
        <f t="shared" si="6"/>
        <v>0.63636363636363635</v>
      </c>
      <c r="G82" s="26">
        <f t="shared" si="7"/>
        <v>0.36363636363636365</v>
      </c>
      <c r="H82" s="8" t="s">
        <v>17</v>
      </c>
      <c r="I82" s="9" t="s">
        <v>8</v>
      </c>
      <c r="J82" s="15">
        <v>0.72409999999999997</v>
      </c>
      <c r="K82" s="15">
        <v>1.6047</v>
      </c>
      <c r="L82" s="15">
        <v>2.1555</v>
      </c>
      <c r="M82" s="34">
        <v>1.85</v>
      </c>
      <c r="N82" s="15">
        <v>7.1538000000000004</v>
      </c>
      <c r="O82" s="15">
        <v>2.9499999999999998E-2</v>
      </c>
      <c r="P82" s="42">
        <f t="shared" si="8"/>
        <v>70.695440891279944</v>
      </c>
      <c r="Q82" s="9" t="s">
        <v>9</v>
      </c>
    </row>
    <row r="83" spans="1:17" ht="17" x14ac:dyDescent="0.2">
      <c r="A83" s="7" t="s">
        <v>35</v>
      </c>
      <c r="B83" s="7" t="s">
        <v>55</v>
      </c>
      <c r="C83" s="7">
        <v>44</v>
      </c>
      <c r="D83" s="8" t="s">
        <v>27</v>
      </c>
      <c r="E83" s="7">
        <v>16</v>
      </c>
      <c r="F83" s="26">
        <f t="shared" si="6"/>
        <v>0.63636363636363635</v>
      </c>
      <c r="G83" s="26">
        <f t="shared" si="7"/>
        <v>0.36363636363636365</v>
      </c>
      <c r="H83" s="8" t="s">
        <v>17</v>
      </c>
      <c r="I83" s="9" t="s">
        <v>11</v>
      </c>
      <c r="J83" s="15">
        <v>0.76570000000000005</v>
      </c>
      <c r="K83" s="15">
        <v>1.3858999999999999</v>
      </c>
      <c r="L83" s="15">
        <v>1.7335</v>
      </c>
      <c r="M83" s="34">
        <v>1.64</v>
      </c>
      <c r="N83" s="15">
        <v>4.3535000000000004</v>
      </c>
      <c r="O83" s="15">
        <v>5.0000000000000001E-4</v>
      </c>
      <c r="P83" s="42">
        <f t="shared" si="8"/>
        <v>74.118920314988458</v>
      </c>
      <c r="Q83" s="9" t="s">
        <v>10</v>
      </c>
    </row>
    <row r="84" spans="1:17" ht="17" x14ac:dyDescent="0.2">
      <c r="A84" s="7" t="s">
        <v>36</v>
      </c>
      <c r="B84" s="7" t="s">
        <v>55</v>
      </c>
      <c r="C84" s="7">
        <v>44</v>
      </c>
      <c r="D84" s="8" t="s">
        <v>27</v>
      </c>
      <c r="E84" s="7">
        <v>16</v>
      </c>
      <c r="F84" s="26">
        <f t="shared" si="6"/>
        <v>0.63636363636363635</v>
      </c>
      <c r="G84" s="26">
        <f t="shared" si="7"/>
        <v>0.36363636363636365</v>
      </c>
      <c r="H84" s="8" t="s">
        <v>17</v>
      </c>
      <c r="I84" s="9" t="s">
        <v>12</v>
      </c>
      <c r="J84" s="15">
        <v>0.83520000000000005</v>
      </c>
      <c r="K84" s="15">
        <v>1.0803</v>
      </c>
      <c r="L84" s="15">
        <v>1.4887999999999999</v>
      </c>
      <c r="M84" s="34">
        <v>1.27</v>
      </c>
      <c r="N84" s="15">
        <v>5.1963999999999997</v>
      </c>
      <c r="O84" s="15">
        <v>4.8899999999999999E-2</v>
      </c>
      <c r="P84" s="42">
        <f t="shared" si="8"/>
        <v>81.038205824816927</v>
      </c>
      <c r="Q84" s="9" t="s">
        <v>9</v>
      </c>
    </row>
    <row r="85" spans="1:17" ht="17" x14ac:dyDescent="0.2">
      <c r="A85" s="7" t="s">
        <v>37</v>
      </c>
      <c r="B85" s="7" t="s">
        <v>55</v>
      </c>
      <c r="C85" s="7">
        <v>44</v>
      </c>
      <c r="D85" s="8" t="s">
        <v>27</v>
      </c>
      <c r="E85" s="7">
        <v>16</v>
      </c>
      <c r="F85" s="26">
        <f t="shared" si="6"/>
        <v>0.63636363636363635</v>
      </c>
      <c r="G85" s="26">
        <f t="shared" si="7"/>
        <v>0.36363636363636365</v>
      </c>
      <c r="H85" s="8" t="s">
        <v>17</v>
      </c>
      <c r="I85" s="9" t="s">
        <v>14</v>
      </c>
      <c r="J85" s="15">
        <v>0.82179999999999997</v>
      </c>
      <c r="K85" s="15">
        <v>1.1531</v>
      </c>
      <c r="L85" s="15">
        <v>1.5478000000000001</v>
      </c>
      <c r="M85" s="34">
        <v>1.36</v>
      </c>
      <c r="N85" s="33">
        <v>5.492</v>
      </c>
      <c r="O85" s="15">
        <v>1.7600000000000001E-2</v>
      </c>
      <c r="P85" s="42">
        <f t="shared" si="8"/>
        <v>79.80562876590767</v>
      </c>
      <c r="Q85" s="9" t="s">
        <v>9</v>
      </c>
    </row>
    <row r="86" spans="1:17" ht="17" x14ac:dyDescent="0.2">
      <c r="A86" s="7" t="s">
        <v>38</v>
      </c>
      <c r="B86" s="7" t="s">
        <v>55</v>
      </c>
      <c r="C86" s="7">
        <v>44</v>
      </c>
      <c r="D86" s="8" t="s">
        <v>27</v>
      </c>
      <c r="E86" s="7">
        <v>16</v>
      </c>
      <c r="F86" s="26">
        <f t="shared" si="6"/>
        <v>0.63636363636363635</v>
      </c>
      <c r="G86" s="26">
        <f t="shared" si="7"/>
        <v>0.36363636363636365</v>
      </c>
      <c r="H86" s="8" t="s">
        <v>17</v>
      </c>
      <c r="I86" s="9" t="s">
        <v>15</v>
      </c>
      <c r="J86" s="16">
        <v>0.84240000000000004</v>
      </c>
      <c r="K86" s="16">
        <v>1.1105</v>
      </c>
      <c r="L86" s="16">
        <v>0.45569999999999999</v>
      </c>
      <c r="M86" s="36">
        <v>1.31</v>
      </c>
      <c r="N86" s="16">
        <v>4.8278999999999996</v>
      </c>
      <c r="O86" s="16">
        <v>1.9E-3</v>
      </c>
      <c r="P86" s="44">
        <f t="shared" si="8"/>
        <v>81.499871018415305</v>
      </c>
      <c r="Q86" s="9" t="s">
        <v>9</v>
      </c>
    </row>
    <row r="87" spans="1:17" ht="17" x14ac:dyDescent="0.2">
      <c r="A87" s="7" t="s">
        <v>39</v>
      </c>
      <c r="B87" s="7" t="s">
        <v>55</v>
      </c>
      <c r="C87" s="7">
        <v>44</v>
      </c>
      <c r="D87" s="8" t="s">
        <v>27</v>
      </c>
      <c r="E87" s="7">
        <v>16</v>
      </c>
      <c r="F87" s="26">
        <f t="shared" si="6"/>
        <v>0.63636363636363635</v>
      </c>
      <c r="G87" s="26">
        <f t="shared" si="7"/>
        <v>0.36363636363636365</v>
      </c>
      <c r="H87" s="8" t="s">
        <v>17</v>
      </c>
      <c r="I87" s="9" t="s">
        <v>16</v>
      </c>
      <c r="J87" s="15">
        <v>0.83530000000000004</v>
      </c>
      <c r="K87" s="15">
        <v>1.1474</v>
      </c>
      <c r="L87" s="15">
        <v>1.4882</v>
      </c>
      <c r="M87" s="34">
        <v>1.36</v>
      </c>
      <c r="N87" s="15">
        <v>4.7687999999999997</v>
      </c>
      <c r="O87" s="15">
        <v>2.81E-2</v>
      </c>
      <c r="P87" s="42">
        <f t="shared" si="8"/>
        <v>80.99843135885277</v>
      </c>
      <c r="Q87" s="9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NPHR</vt:lpstr>
      <vt:lpstr>Boiler 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dcterms:created xsi:type="dcterms:W3CDTF">2026-02-17T14:30:40Z</dcterms:created>
  <dcterms:modified xsi:type="dcterms:W3CDTF">2026-04-17T15:23:03Z</dcterms:modified>
</cp:coreProperties>
</file>